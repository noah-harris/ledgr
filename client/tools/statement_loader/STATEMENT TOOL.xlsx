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positories\ledgr\client\tools\statement_loader\"/>
    </mc:Choice>
  </mc:AlternateContent>
  <xr:revisionPtr revIDLastSave="0" documentId="13_ncr:1_{E2E91FFF-0DB0-41E2-9B63-CC16641A47A1}" xr6:coauthVersionLast="47" xr6:coauthVersionMax="47" xr10:uidLastSave="{00000000-0000-0000-0000-000000000000}"/>
  <bookViews>
    <workbookView xWindow="-120" yWindow="-120" windowWidth="51840" windowHeight="21120" tabRatio="940" xr2:uid="{D207168A-B19E-4C66-BC46-1F21A6A1F713}"/>
  </bookViews>
  <sheets>
    <sheet name="READ ME" sheetId="9" r:id="rId1"/>
    <sheet name="Statement Editor" sheetId="1" r:id="rId2"/>
    <sheet name="PDF Parser Output" sheetId="5" r:id="rId3"/>
    <sheet name="Output" sheetId="11" state="hidden" r:id="rId4"/>
    <sheet name="DB" sheetId="3" state="hidden" r:id="rId5"/>
    <sheet name="Duplicate logic" sheetId="8" state="hidden" r:id="rId6"/>
  </sheets>
  <definedNames>
    <definedName name="ACCOUNT_DROPDOWN">_xlfn.ANCHORARRAY(DB!$O$2)</definedName>
    <definedName name="DatabaseName" comment="The name of the main database">'READ ME'!$B$11</definedName>
    <definedName name="DockerHost" comment="The host for the docker server">'READ ME'!$B$9</definedName>
    <definedName name="DockerPort" comment="The extenal port of the docker container">'READ ME'!$B$10</definedName>
    <definedName name="ExternalData_1" localSheetId="4" hidden="1">DB!$A$1:$B$2</definedName>
    <definedName name="ExternalData_1" localSheetId="3" hidden="1">Output!$A$1:$R$2</definedName>
    <definedName name="ExternalData_1" localSheetId="1" hidden="1">'Statement Editor'!$K$5:$P$6</definedName>
    <definedName name="ExternalData_2" localSheetId="4" hidden="1">DB!$D$1:$G$2</definedName>
    <definedName name="ExternalData_2" localSheetId="2" hidden="1">'PDF Parser Output'!$A$1:$C$2</definedName>
    <definedName name="ExternalData_2" localSheetId="1" hidden="1">'Statement Editor'!$K$8:$S$9</definedName>
    <definedName name="ExternalData_3" localSheetId="4" hidden="1">DB!$J$1:$K$2</definedName>
    <definedName name="ExternalData_4" localSheetId="4" hidden="1">DB!$R$1:$W$2</definedName>
    <definedName name="METHOD_DROPDOWN">_xlfn.ANCHORARRAY(DB!$N$2)</definedName>
    <definedName name="PAYEE_DROPDOWN">_xlfn.ANCHORARRAY(DB!$P$2)</definedName>
    <definedName name="PDFPath">'Statement Editor'!$C$2</definedName>
    <definedName name="PERIOD_END_BALANCE">'Statement Editor'!$G$2</definedName>
    <definedName name="PERIOD_END_DATE">'Statement Editor'!$E$2</definedName>
    <definedName name="PERIOD_START_BALANCE">'Statement Editor'!$F$2</definedName>
    <definedName name="PERIOD_START_DATE">'Statement Editor'!$D$2</definedName>
    <definedName name="SELECTED_ACCOUNT">'Statement Editor'!$A$2</definedName>
    <definedName name="STATEMENT_DATE">'Statement Editor'!$B$2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 a="1"/>
  <c r="U6" i="1" s="1"/>
  <c r="P2" i="3" a="1"/>
  <c r="P2" i="3" s="1"/>
  <c r="D1" i="8" a="1"/>
  <c r="D1" i="8" s="1"/>
  <c r="C1" i="8" a="1"/>
  <c r="C1" i="8" s="1"/>
  <c r="B1" i="8" a="1"/>
  <c r="B1" i="8" s="1"/>
  <c r="A501" i="1"/>
  <c r="B501" i="1"/>
  <c r="A502" i="1"/>
  <c r="B502" i="1"/>
  <c r="A503" i="1"/>
  <c r="B503" i="1"/>
  <c r="I2" i="1"/>
  <c r="H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4" i="1"/>
  <c r="B50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4" i="1"/>
  <c r="A505" i="1"/>
  <c r="N2" i="3" a="1"/>
  <c r="N2" i="3" s="1"/>
  <c r="O2" i="3" a="1"/>
  <c r="K2" i="1" l="1"/>
  <c r="L2" i="1" a="1"/>
  <c r="L2" i="1" s="1"/>
  <c r="O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C068AF-1112-44B4-99B9-C0EEEB419020}" keepAlive="1" name="Query - accounts" description="Connection to the 'accounts' query in the workbook." type="5" refreshedVersion="8" refreshOnLoad="1" saveData="1">
    <dbPr connection="Provider=Microsoft.Mashup.OleDb.1;Data Source=$Workbook$;Location=accounts;Extended Properties=&quot;&quot;" command="SELECT * FROM [accounts]"/>
  </connection>
  <connection id="2" xr16:uid="{EB310304-6AE5-49AE-BD18-9F88AEE93077}" keepAlive="1" name="Query - DatabaseName" description="Connection to the 'DatabaseName' query in the workbook." type="5" refreshedVersion="0" background="1">
    <dbPr connection="Provider=Microsoft.Mashup.OleDb.1;Data Source=$Workbook$;Location=DatabaseName;Extended Properties=&quot;&quot;" command="SELECT * FROM [DatabaseName]"/>
  </connection>
  <connection id="3" xr16:uid="{E4617922-2ADC-4865-B037-6BE347E57BCC}" keepAlive="1" name="Query - DockerHost" description="Connection to the 'DockerHost' query in the workbook." type="5" refreshedVersion="0" background="1">
    <dbPr connection="Provider=Microsoft.Mashup.OleDb.1;Data Source=$Workbook$;Location=DockerHost;Extended Properties=&quot;&quot;" command="SELECT * FROM [DockerHost]"/>
  </connection>
  <connection id="4" xr16:uid="{EC80BB97-BBE5-4B09-9856-EEC2ABFF9A20}" keepAlive="1" name="Query - fxAddYear" description="Connection to the 'fxAddYear' query in the workbook." type="5" refreshedVersion="0" background="1">
    <dbPr connection="Provider=Microsoft.Mashup.OleDb.1;Data Source=$Workbook$;Location=fxAddYear;Extended Properties=&quot;&quot;" command="SELECT * FROM [fxAddYear]"/>
  </connection>
  <connection id="5" xr16:uid="{64BD98C4-B75D-4C05-9FD7-F17AC9D2247B}" keepAlive="1" name="Query - fxExtractDateAfterOn" description="Connection to the 'fxExtractDateAfterOn' query in the workbook." type="5" refreshedVersion="0" background="1">
    <dbPr connection="Provider=Microsoft.Mashup.OleDb.1;Data Source=$Workbook$;Location=fxExtractDateAfterOn;Extended Properties=&quot;&quot;" command="SELECT * FROM [fxExtractDateAfterOn]"/>
  </connection>
  <connection id="6" xr16:uid="{73A49C01-8029-4D64-9100-3A3285597CD6}" keepAlive="1" name="Query - fxExtractRefNo" description="Connection to the 'fxExtractRefNo' query in the workbook." type="5" refreshedVersion="0" background="1">
    <dbPr connection="Provider=Microsoft.Mashup.OleDb.1;Data Source=$Workbook$;Location=fxExtractRefNo;Extended Properties=&quot;&quot;" command="SELECT * FROM [fxExtractRefNo]"/>
  </connection>
  <connection id="7" xr16:uid="{0B8D0743-5728-4CE1-9277-7D40E1BB9EA9}" keepAlive="1" name="Query - fxFlipSign" description="Connection to the 'fxFlipSign' query in the workbook." type="5" refreshedVersion="0" background="1">
    <dbPr connection="Provider=Microsoft.Mashup.OleDb.1;Data Source=$Workbook$;Location=fxFlipSign;Extended Properties=&quot;&quot;" command="SELECT * FROM [fxFlipSign]"/>
  </connection>
  <connection id="8" xr16:uid="{A94DC0D9-D203-42AB-BC9E-E9F2A65F0581}" keepAlive="1" name="Query - fxFormatSECUCredit" description="Connection to the 'fxFormatSECUCredit' query in the workbook." type="5" refreshedVersion="0" background="1">
    <dbPr connection="Provider=Microsoft.Mashup.OleDb.1;Data Source=$Workbook$;Location=fxFormatSECUCredit;Extended Properties=&quot;&quot;" command="SELECT * FROM [fxFormatSECUCredit]"/>
  </connection>
  <connection id="9" xr16:uid="{DAF21504-1D90-4BAB-9A62-333FF7E51DE1}" keepAlive="1" name="Query - fxFormatWhiteSpace" description="Connection to the 'fxFormatWhiteSpace' query in the workbook." type="5" refreshedVersion="0" background="1">
    <dbPr connection="Provider=Microsoft.Mashup.OleDb.1;Data Source=$Workbook$;Location=fxFormatWhiteSpace;Extended Properties=&quot;&quot;" command="SELECT * FROM [fxFormatWhiteSpace]"/>
  </connection>
  <connection id="10" xr16:uid="{E0ADC93B-1F7A-4E9A-A550-D1D08BF6BB8D}" keepAlive="1" name="Query - fxIsNull" description="Connection to the 'fxIsNull' query in the workbook." type="5" refreshedVersion="0" background="1">
    <dbPr connection="Provider=Microsoft.Mashup.OleDb.1;Data Source=$Workbook$;Location=fxIsNull;Extended Properties=&quot;&quot;" command="SELECT * FROM [fxIsNull]"/>
  </connection>
  <connection id="11" xr16:uid="{AB7499D8-D935-4807-998C-918B7C6F0B82}" keepAlive="1" name="Query - fxRemoveLineBreaks" description="Connection to the 'fxRemoveLineBreaks' query in the workbook." type="5" refreshedVersion="0" background="1">
    <dbPr connection="Provider=Microsoft.Mashup.OleDb.1;Data Source=$Workbook$;Location=fxRemoveLineBreaks;Extended Properties=&quot;&quot;" command="SELECT * FROM [fxRemoveLineBreaks]"/>
  </connection>
  <connection id="12" xr16:uid="{A5C747AD-62A8-46CC-8673-7EB8FC609376}" keepAlive="1" name="Query - fxSECUCheckingDateParse" description="Connection to the 'fxSECUCheckingDateParse' query in the workbook." type="5" refreshedVersion="0" background="1">
    <dbPr connection="Provider=Microsoft.Mashup.OleDb.1;Data Source=$Workbook$;Location=fxSECUCheckingDateParse;Extended Properties=&quot;&quot;" command="SELECT * FROM [fxSECUCheckingDateParse]"/>
  </connection>
  <connection id="13" xr16:uid="{1C503845-FBB2-40DE-B45F-88A87EBE7ABF}" keepAlive="1" name="Query - fxSECUSignFlip" description="Connection to the 'fxSECUSignFlip' query in the workbook." type="5" refreshedVersion="0" background="1">
    <dbPr connection="Provider=Microsoft.Mashup.OleDb.1;Data Source=$Workbook$;Location=fxSECUSignFlip;Extended Properties=&quot;&quot;" command="SELECT * FROM [fxSECUSignFlip]"/>
  </connection>
  <connection id="14" xr16:uid="{1A94DB21-1455-4829-8A16-19F389C08675}" keepAlive="1" name="Query - fxStringAgg" description="Connection to the 'fxStringAgg' query in the workbook." type="5" refreshedVersion="0" background="1">
    <dbPr connection="Provider=Microsoft.Mashup.OleDb.1;Data Source=$Workbook$;Location=fxStringAgg;Extended Properties=&quot;&quot;" command="SELECT * FROM [fxStringAgg]"/>
  </connection>
  <connection id="15" xr16:uid="{4D716A92-32E9-4890-A266-FC407F4A6719}" keepAlive="1" name="Query - fxStripNonAlphanumeric" description="Connection to the 'fxStripNonAlphanumeric' query in the workbook." type="5" refreshedVersion="0" background="1">
    <dbPr connection="Provider=Microsoft.Mashup.OleDb.1;Data Source=$Workbook$;Location=fxStripNonAlphanumeric;Extended Properties=&quot;&quot;" command="SELECT * FROM [fxStripNonAlphanumeric]"/>
  </connection>
  <connection id="16" xr16:uid="{541B3FC8-0A83-4F96-B7EE-E8B8517ADADC}" keepAlive="1" name="Query - methods" description="Connection to the 'methods' query in the workbook." type="5" refreshedVersion="8" refreshOnLoad="1" saveData="1">
    <dbPr connection="Provider=Microsoft.Mashup.OleDb.1;Data Source=$Workbook$;Location=methods;Extended Properties=&quot;&quot;" command="SELECT * FROM [methods]"/>
  </connection>
  <connection id="17" xr16:uid="{720FD5D0-5862-4DD0-9BF0-3369E6906FC1}" keepAlive="1" name="Query - payee" description="Connection to the 'payee' query in the workbook." type="5" refreshedVersion="8" refreshOnLoad="1" saveData="1">
    <dbPr connection="Provider=Microsoft.Mashup.OleDb.1;Data Source=$Workbook$;Location=payee;Extended Properties=&quot;&quot;" command="SELECT * FROM [payee]"/>
  </connection>
  <connection id="18" xr16:uid="{99CE3900-A6F9-4316-A2BD-41DE20BC31FD}" keepAlive="1" name="Query - PDF Data" description="Connection to the 'PDF Data' query in the workbook." type="5" refreshedVersion="8" refreshOnLoad="1" saveData="1">
    <dbPr connection="Provider=Microsoft.Mashup.OleDb.1;Data Source=$Workbook$;Location=&quot;PDF Data&quot;;Extended Properties=&quot;&quot;" command="SELECT * FROM [PDF Data]"/>
  </connection>
  <connection id="19" xr16:uid="{F3050F0E-E9B1-4632-A966-228D06CB457B}" keepAlive="1" name="Query - STATEMENT_ITEM_OUTPUT(1)" description="Connection to the 'STATEMENT_ITEM_OUTPUT' query in the workbook." type="5" refreshedVersion="8" background="1" saveData="1">
    <dbPr connection="Provider=Microsoft.Mashup.OleDb.1;Data Source=$Workbook$;Location=STATEMENT_ITEM_OUTPUT;Extended Properties=&quot;&quot;" command="SELECT * FROM [STATEMENT_ITEM_OUTPUT]"/>
  </connection>
  <connection id="20" xr16:uid="{2249D49F-A9FA-437B-A2E2-A7F4E39ED153}" keepAlive="1" name="Query - STATEMENT_ITEM_OUTPUT_VIEW" description="Connection to the 'STATEMENT_ITEM_OUTPUT_VIEW' query in the workbook." type="5" refreshedVersion="8" background="1" saveData="1">
    <dbPr connection="Provider=Microsoft.Mashup.OleDb.1;Data Source=$Workbook$;Location=STATEMENT_ITEM_OUTPUT_VIEW;Extended Properties=&quot;&quot;" command="SELECT * FROM [STATEMENT_ITEM_OUTPUT_VIEW]"/>
  </connection>
  <connection id="21" xr16:uid="{6683B07C-B138-42F7-9A94-AA191FE0305E}" keepAlive="1" name="Query - STATEMENT_OUTPUT" description="Connection to the 'STATEMENT_OUTPUT' query in the workbook." type="5" refreshedVersion="8" refreshOnLoad="1" saveData="1">
    <dbPr connection="Provider=Microsoft.Mashup.OleDb.1;Data Source=$Workbook$;Location=STATEMENT_OUTPUT;Extended Properties=&quot;&quot;" command="SELECT * FROM [STATEMENT_OUTPUT]"/>
  </connection>
  <connection id="22" xr16:uid="{4FE4409C-0B9B-489B-AC33-D344320FAEB7}" keepAlive="1" name="Query - STATEMENT_OUTPUT_VIEW" description="Connection to the 'STATEMENT_OUTPUT_VIEW' query in the workbook." type="5" refreshedVersion="8" background="1" saveData="1">
    <dbPr connection="Provider=Microsoft.Mashup.OleDb.1;Data Source=$Workbook$;Location=STATEMENT_OUTPUT_VIEW;Extended Properties=&quot;&quot;" command="SELECT * FROM [STATEMENT_OUTPUT_VIEW]"/>
  </connection>
  <connection id="23" xr16:uid="{EB35320E-5034-4069-96F5-6846B1EF3B5E}" keepAlive="1" name="Query - STATEMENT_STATEMENT_ITEM_OUTPUT" description="Connection to the 'STATEMENT_STATEMENT_ITEM_OUTPUT' query in the workbook." type="5" refreshedVersion="8" background="1" saveData="1">
    <dbPr connection="Provider=Microsoft.Mashup.OleDb.1;Data Source=$Workbook$;Location=STATEMENT_STATEMENT_ITEM_OUTPUT;Extended Properties=&quot;&quot;" command="SELECT * FROM [STATEMENT_STATEMENT_ITEM_OUTPUT]"/>
  </connection>
  <connection id="24" xr16:uid="{BEA820BE-D65E-4AEE-9752-0CA9CFE2F6FC}" keepAlive="1" name="Query - STATEMENT_STATEMENT_ITEM_OUTPUT1" description="Connection to the 'STATEMENT_STATEMENT_ITEM_OUTPUT' query in the workbook." type="5" refreshedVersion="0" background="1">
    <dbPr connection="Provider=Microsoft.Mashup.OleDb.1;Data Source=$Workbook$;Location=STATEMENT_STATEMENT_ITEM_OUTPUT;Extended Properties=&quot;&quot;" command="SELECT * FROM [STATEMENT_STATEMENT_ITEM_OUTPUT]"/>
  </connection>
  <connection id="25" xr16:uid="{4F76A7C9-4BFA-4481-ABA9-872BB0E3823D}" keepAlive="1" name="Query - Statements" description="Connection to the 'Statements' query in the workbook." type="5" refreshedVersion="8" background="1" refreshOnLoad="1" saveData="1">
    <dbPr connection="Provider=Microsoft.Mashup.OleDb.1;Data Source=$Workbook$;Location=Statements;Extended Properties=&quot;&quot;" command="SELECT * FROM [State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<sst xmlns="http://schemas.openxmlformats.org/spreadsheetml/2006/main" count="92" uniqueCount="65">
  <si>
    <t>ACCOUNT</t>
  </si>
  <si>
    <t>STATEMENT DATE</t>
  </si>
  <si>
    <t>ACCOUNT_DROPDOWN</t>
  </si>
  <si>
    <t>METHOD_DROPDOWN</t>
  </si>
  <si>
    <t>PAYEE_DROPDOWN</t>
  </si>
  <si>
    <t>TRANSACTION DATE</t>
  </si>
  <si>
    <t>POST DATE</t>
  </si>
  <si>
    <t>REFERENCE NUMBER</t>
  </si>
  <si>
    <t>DESCRIPTION</t>
  </si>
  <si>
    <t>AMOUNT</t>
  </si>
  <si>
    <t>PAYEE</t>
  </si>
  <si>
    <t>METHOD</t>
  </si>
  <si>
    <t>PDF PATH</t>
  </si>
  <si>
    <t>Name</t>
  </si>
  <si>
    <t>Kind</t>
  </si>
  <si>
    <t>Data</t>
  </si>
  <si>
    <t>PERIOD START DATE</t>
  </si>
  <si>
    <t>PERIOD END DATE</t>
  </si>
  <si>
    <t>PERIOD START BALANCE</t>
  </si>
  <si>
    <t xml:space="preserve"> PERIOD END BALANCE</t>
  </si>
  <si>
    <t>Period Balance Change</t>
  </si>
  <si>
    <t>Amount Sum</t>
  </si>
  <si>
    <t>Account</t>
  </si>
  <si>
    <t>Statement Date</t>
  </si>
  <si>
    <t>Period Start</t>
  </si>
  <si>
    <t>Period End</t>
  </si>
  <si>
    <t>Balance Start</t>
  </si>
  <si>
    <t>Balance End</t>
  </si>
  <si>
    <t>Balance Error</t>
  </si>
  <si>
    <t>Duplicate Rows</t>
  </si>
  <si>
    <t>Method</t>
  </si>
  <si>
    <t>PayeeName</t>
  </si>
  <si>
    <t>AccountDisplayName</t>
  </si>
  <si>
    <t>StatementDate</t>
  </si>
  <si>
    <t>StartDate</t>
  </si>
  <si>
    <t>EndDate</t>
  </si>
  <si>
    <t>StartBalance</t>
  </si>
  <si>
    <t>EndBalance</t>
  </si>
  <si>
    <t>AccountId</t>
  </si>
  <si>
    <t>MethodId</t>
  </si>
  <si>
    <t>PayeeId</t>
  </si>
  <si>
    <t>TransactionDate</t>
  </si>
  <si>
    <t>PostDate</t>
  </si>
  <si>
    <t>ReferenceNumber</t>
  </si>
  <si>
    <t>Description</t>
  </si>
  <si>
    <t>Amount</t>
  </si>
  <si>
    <t>STATEMENT TOOL</t>
  </si>
  <si>
    <t>Colors</t>
  </si>
  <si>
    <t>Generated Data</t>
  </si>
  <si>
    <t>Manually Entered Data</t>
  </si>
  <si>
    <t>Transposed Data</t>
  </si>
  <si>
    <t>Data Transposition Templates</t>
  </si>
  <si>
    <t>SECU Checking</t>
  </si>
  <si>
    <t>WELLS FARGO CHECKING</t>
  </si>
  <si>
    <t>WELLS FARGO SAVINGS</t>
  </si>
  <si>
    <t>StatementId</t>
  </si>
  <si>
    <t>StatementImageId</t>
  </si>
  <si>
    <t>StatementItemId</t>
  </si>
  <si>
    <t>InvoiceId</t>
  </si>
  <si>
    <t>StatementItemImageId</t>
  </si>
  <si>
    <t>ldr</t>
  </si>
  <si>
    <t>127.0.0.1</t>
  </si>
  <si>
    <t>Docker Host:</t>
  </si>
  <si>
    <t>Docker Port:</t>
  </si>
  <si>
    <t>DatabaseName: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</si>
</sst>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\ hh:mm:ss"/>
    <numFmt numFmtId="166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49" fontId="0" fillId="0" borderId="0" xfId="0" applyNumberFormat="1"/>
    <xf numFmtId="165" fontId="0" fillId="4" borderId="0" xfId="0" applyNumberFormat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left" vertical="center"/>
    </xf>
    <xf numFmtId="22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4" fontId="0" fillId="2" borderId="7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4" fontId="0" fillId="2" borderId="9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4" fillId="6" borderId="10" xfId="0" applyNumberFormat="1" applyFont="1" applyFill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/>
    </xf>
    <xf numFmtId="0" fontId="6" fillId="5" borderId="0" xfId="0" applyFont="1" applyFill="1"/>
    <xf numFmtId="0" fontId="6" fillId="2" borderId="0" xfId="0" applyFont="1" applyFill="1"/>
    <xf numFmtId="0" fontId="6" fillId="7" borderId="0" xfId="0" applyFont="1" applyFill="1"/>
    <xf numFmtId="0" fontId="6" fillId="3" borderId="0" xfId="0" applyFont="1" applyFill="1"/>
    <xf numFmtId="0" fontId="6" fillId="8" borderId="0" xfId="0" applyFont="1" applyFill="1"/>
    <xf numFmtId="0" fontId="7" fillId="5" borderId="0" xfId="0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14" fontId="0" fillId="0" borderId="0" xfId="0" applyNumberFormat="1"/>
    <xf numFmtId="22" fontId="0" fillId="0" borderId="0" xfId="0" applyNumberFormat="1" applyAlignment="1">
      <alignment horizontal="center" vertical="center"/>
    </xf>
    <xf numFmtId="0" fontId="7" fillId="5" borderId="0" xfId="0" applyFont="1" applyFill="1" applyAlignment="1">
      <alignment horizontal="right"/>
    </xf>
    <xf numFmtId="0" fontId="6" fillId="3" borderId="0" xfId="0" applyFont="1" applyFill="1" applyAlignment="1">
      <alignment horizontal="center" vertical="center"/>
    </xf>
  </cellXfs>
  <cellStyles count="2">
    <cellStyle name="Currency" xfId="1" builtinId="4"/>
    <cellStyle name="Normal" xfId="0" builtinId="0"/>
  </cellStyles>
  <dxfs count="46">
    <dxf>
      <numFmt numFmtId="27" formatCode="m/d/yyyy\ h:mm"/>
    </dxf>
    <dxf>
      <numFmt numFmtId="27" formatCode="m/d/yyyy\ h:mm"/>
    </dxf>
    <dxf>
      <numFmt numFmtId="27" formatCode="m/d/yyyy\ h:mm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7" formatCode="m/d/yyyy\ h:mm"/>
    </dxf>
    <dxf>
      <numFmt numFmtId="27" formatCode="m/d/yyyy\ h:mm"/>
    </dxf>
    <dxf>
      <numFmt numFmtId="19" formatCode="m/d/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&quot;$&quot;#,##0.00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yyyy\-mm\-dd\ hh:mm:ss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9" formatCode="m/d/yyyy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theme="0" tint="-0.14996795556505021"/>
          <bgColor theme="8" tint="0.79998168889431442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theme="8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TableStyleMedium2" defaultPivotStyle="PivotStyleLight16">
    <tableStyle name="TableStyleMedium20 2" pivot="0" count="8" xr9:uid="{A9769421-9C75-4414-9E38-12734325DC8A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secondRowStripe" dxfId="39"/>
      <tableStyleElement type="firstColumn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26894</xdr:colOff>
      <xdr:row>4</xdr:row>
      <xdr:rowOff>0</xdr:rowOff>
    </xdr:from>
    <xdr:to>
      <xdr:col>26</xdr:col>
      <xdr:colOff>0</xdr:colOff>
      <xdr:row>20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BA1EA0-4F75-4074-8C35-D9741A24A82A}"/>
            </a:ext>
          </a:extLst>
        </xdr:cNvPr>
        <xdr:cNvSpPr txBox="1"/>
      </xdr:nvSpPr>
      <xdr:spPr>
        <a:xfrm>
          <a:off x="6818219" y="838200"/>
          <a:ext cx="9726706" cy="3429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#"Appended Query" = Table.Combine({Clean, #"PDF Data (2)"}),</a:t>
          </a:r>
        </a:p>
        <a:p>
          <a:r>
            <a:rPr lang="en-US" sz="1100"/>
            <a:t>    #"Changed Type" = Table.TransformColumnTypes(#"Appended Query",{{"Amount", Currency.Type}}),</a:t>
          </a:r>
        </a:p>
        <a:p>
          <a:r>
            <a:rPr lang="en-US" sz="1100"/>
            <a:t>    #"Invoked Custom Function" = Table.AddColumn(#"Changed Type", "amount", each fxSECUSignFlip([#"+/-"], [Amount])),</a:t>
          </a:r>
        </a:p>
        <a:p>
          <a:r>
            <a:rPr lang="en-US" sz="1100"/>
            <a:t>    #"Replaced Errors" = Table.ReplaceErrorValues(#"Invoked Custom Function", {{"amount", null}}),</a:t>
          </a:r>
        </a:p>
        <a:p>
          <a:r>
            <a:rPr lang="en-US" sz="1100"/>
            <a:t>    #"Removed Columns1" = Table.RemoveColumns(#"Replaced Errors",{"+/-", "Amount"}),</a:t>
          </a:r>
        </a:p>
        <a:p>
          <a:r>
            <a:rPr lang="en-US" sz="1100"/>
            <a:t>    #"Changed Type1" = Table.TransformColumnTypes(#"Removed Columns1",{{"amount", Currency.Type}, {"post_date", type date}}),</a:t>
          </a:r>
        </a:p>
        <a:p>
          <a:r>
            <a:rPr lang="en-US" sz="1100"/>
            <a:t>    #"Filled Down" = Table.FillDown(#"Changed Type1",{"post_date", "amount"}),</a:t>
          </a:r>
        </a:p>
        <a:p>
          <a:r>
            <a:rPr lang="en-US" sz="1100"/>
            <a:t>	Result = fxStringAgg(#"Filled Down", {"post_date", "amount"}, {"desc"}, " "),</a:t>
          </a:r>
        </a:p>
        <a:p>
          <a:r>
            <a:rPr lang="en-US" sz="1100"/>
            <a:t>    #"Invoked Custom Function1" = Table.AddColumn(Result, "description", each fxFormatWhiteSpace([desc_Agg])),</a:t>
          </a:r>
        </a:p>
        <a:p>
          <a:r>
            <a:rPr lang="en-US" sz="1100"/>
            <a:t>    #"Removed Columns2" = Table.RemoveColumns(#"Invoked Custom Function1",{"desc_Agg"}),</a:t>
          </a:r>
        </a:p>
        <a:p>
          <a:r>
            <a:rPr lang="en-US" sz="1100"/>
            <a:t>    #"Invoked Custom Function2" = Table.AddColumn(#"Removed Columns2", "transaction_date", each fxSECUCheckingDateParse([description], 2025, [post_date])),</a:t>
          </a:r>
        </a:p>
        <a:p>
          <a:r>
            <a:rPr lang="en-US" sz="1100"/>
            <a:t>    #"Changed Type2" = Table.TransformColumnTypes(#"Invoked Custom Function2",{{"transaction_date", type datetime}}),</a:t>
          </a:r>
        </a:p>
        <a:p>
          <a:r>
            <a:rPr lang="en-US" sz="1100"/>
            <a:t>    #"Reordered Columns" = Table.ReorderColumns(#"Changed Type2",{"transaction_date", "post_date", "amount", "description"}),</a:t>
          </a:r>
        </a:p>
        <a:p>
          <a:r>
            <a:rPr lang="en-US" sz="1100"/>
            <a:t>    #"Added Custom" = Table.AddColumn(#"Reordered Columns", "reference_number", each ""),</a:t>
          </a:r>
        </a:p>
        <a:p>
          <a:r>
            <a:rPr lang="en-US" sz="1100"/>
            <a:t>    #"Reordered Columns1" = Table.ReorderColumns(#"Added Custom",{"transaction_date", "post_date", "reference_number", "description", "amount"}),</a:t>
          </a:r>
        </a:p>
        <a:p>
          <a:r>
            <a:rPr lang="en-US" sz="1100"/>
            <a:t>    #"Changed Type3" = Table.TransformColumnTypes(#"Reordered Columns1",{{"reference_number", type text}}),</a:t>
          </a:r>
        </a:p>
        <a:p>
          <a:r>
            <a:rPr lang="en-US" sz="1100"/>
            <a:t>    #"Sorted Rows" = Table.Sort(#"Changed Type3",{{"post_date", Order.Ascending}})</a:t>
          </a:r>
        </a:p>
        <a:p>
          <a:r>
            <a:rPr lang="en-US" sz="1100"/>
            <a:t>in</a:t>
          </a:r>
        </a:p>
        <a:p>
          <a:r>
            <a:rPr lang="en-US" sz="1100"/>
            <a:t>    #"Sorted Rows"</a:t>
          </a:r>
        </a:p>
        <a:p>
          <a:endParaRPr lang="en-US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22" xr16:uid="{EF978D21-2289-49B4-89D7-1325E67CDBF8}" autoFormatId="16" applyNumberFormats="0" applyBorderFormats="0" applyFontFormats="0" applyPatternFormats="0" applyAlignmentFormats="0" applyWidthHeightFormats="0">
  <queryTableRefresh preserveSortFilterLayout="0" nextId="7">
    <queryTableFields count="6">
      <queryTableField id="1" name="AccountId" tableColumnId="13"/>
      <queryTableField id="2" name="StatementDate" tableColumnId="14"/>
      <queryTableField id="3" name="StartDate" tableColumnId="15"/>
      <queryTableField id="4" name="EndDate" tableColumnId="16"/>
      <queryTableField id="5" name="StartBalance" tableColumnId="17"/>
      <queryTableField id="6" name="EndBalance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20" xr16:uid="{5618DDD3-E82A-478E-85A9-92E97B85454F}" autoFormatId="16" applyNumberFormats="0" applyBorderFormats="0" applyFontFormats="0" applyPatternFormats="0" applyAlignmentFormats="0" applyWidthHeightFormats="0">
  <queryTableRefresh preserveSortFilterLayout="0" nextId="10">
    <queryTableFields count="9">
      <queryTableField id="1" name="MethodId" tableColumnId="19"/>
      <queryTableField id="2" name="PayeeId" tableColumnId="20"/>
      <queryTableField id="3" name="TransactionDate" tableColumnId="21"/>
      <queryTableField id="4" name="PostDate" tableColumnId="22"/>
      <queryTableField id="5" name="ReferenceNumber" tableColumnId="23"/>
      <queryTableField id="6" name="Amount" tableColumnId="24"/>
      <queryTableField id="7" name="Description" tableColumnId="25"/>
      <queryTableField id="8" name="StatementDate" tableColumnId="26"/>
      <queryTableField id="9" name="AccountId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8" xr16:uid="{13752BDA-6C00-4A8B-B162-B1542709847B}" autoFormatId="16" applyNumberFormats="0" applyBorderFormats="0" applyFontFormats="0" applyPatternFormats="0" applyAlignmentFormats="0" applyWidthHeightFormats="0">
  <queryTableRefresh nextId="8">
    <queryTableFields count="3">
      <queryTableField id="5" name="Name" tableColumnId="5"/>
      <queryTableField id="6" name="Kind" tableColumnId="6"/>
      <queryTableField id="7" name="Data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1D4E603F-AE22-4953-85EF-D8659BB3FE46}" autoFormatId="16" applyNumberFormats="0" applyBorderFormats="0" applyFontFormats="0" applyPatternFormats="0" applyAlignmentFormats="0" applyWidthHeightFormats="0">
  <queryTableRefresh nextId="23">
    <queryTableFields count="18">
      <queryTableField id="1" name="AccountId" tableColumnId="1"/>
      <queryTableField id="14" name="StatementId" tableColumnId="14"/>
      <queryTableField id="2" name="StatementDate" tableColumnId="2"/>
      <queryTableField id="3" name="StartDate" tableColumnId="3"/>
      <queryTableField id="4" name="EndDate" tableColumnId="4"/>
      <queryTableField id="5" name="StartBalance" tableColumnId="5"/>
      <queryTableField id="6" name="EndBalance" tableColumnId="6"/>
      <queryTableField id="15" name="StatementImageId" tableColumnId="15"/>
      <queryTableField id="16" name="StatementItemId" tableColumnId="16"/>
      <queryTableField id="7" name="MethodId" tableColumnId="7"/>
      <queryTableField id="8" name="PayeeId" tableColumnId="8"/>
      <queryTableField id="17" name="InvoiceId" tableColumnId="17"/>
      <queryTableField id="9" name="TransactionDate" tableColumnId="9"/>
      <queryTableField id="10" name="PostDate" tableColumnId="10"/>
      <queryTableField id="11" name="ReferenceNumber" tableColumnId="11"/>
      <queryTableField id="12" name="Amount" tableColumnId="12"/>
      <queryTableField id="13" name="Description" tableColumnId="13"/>
      <queryTableField id="18" name="StatementItemImageId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" xr16:uid="{A07725CD-BEB4-4A61-96B4-96D95443E9F7}" autoFormatId="16" applyNumberFormats="0" applyBorderFormats="0" applyFontFormats="0" applyPatternFormats="0" applyAlignmentFormats="0" applyWidthHeightFormats="0">
  <queryTableRefresh nextId="3">
    <queryTableFields count="2">
      <queryTableField id="1" name="account" tableColumnId="1"/>
      <queryTableField id="2" name="AccountId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refreshOnLoad="1" connectionId="17" xr16:uid="{08681080-10EB-4D57-B9FE-60F90A2B02AD}" autoFormatId="16" applyNumberFormats="0" applyBorderFormats="0" applyFontFormats="0" applyPatternFormats="0" applyAlignmentFormats="0" applyWidthHeightFormats="0">
  <queryTableRefresh nextId="4">
    <queryTableFields count="2">
      <queryTableField id="2" name="PayeeName" tableColumnId="1"/>
      <queryTableField id="3" name="PayeeI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6" xr16:uid="{AAA3F941-3AE6-4144-BE9E-863D5EC17E4A}" autoFormatId="16" applyNumberFormats="0" applyBorderFormats="0" applyFontFormats="0" applyPatternFormats="0" applyAlignmentFormats="0" applyWidthHeightFormats="0">
  <queryTableRefresh nextId="5">
    <queryTableFields count="4">
      <queryTableField id="1" name="account" tableColumnId="1"/>
      <queryTableField id="2" name="method" tableColumnId="2"/>
      <queryTableField id="3" name="AccountId" tableColumnId="3"/>
      <queryTableField id="4" name="MethodId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25" xr16:uid="{F0FF1054-63D9-4D37-AADA-F5D6DF8757EC}" autoFormatId="16" applyNumberFormats="0" applyBorderFormats="0" applyFontFormats="0" applyPatternFormats="0" applyAlignmentFormats="0" applyWidthHeightFormats="0">
  <queryTableRefresh nextId="13">
    <queryTableFields count="6">
      <queryTableField id="7" name="AccountDisplayName" tableColumnId="1"/>
      <queryTableField id="8" name="StatementDate" tableColumnId="2"/>
      <queryTableField id="9" name="StartDate" tableColumnId="3"/>
      <queryTableField id="10" name="EndDate" tableColumnId="4"/>
      <queryTableField id="11" name="StartBalance" tableColumnId="5"/>
      <queryTableField id="12" name="EndBalance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3E222-7D3B-4784-B2DD-9408A7226BDA}" name="STATEMENT_DATA" displayName="STATEMENT_DATA" ref="A5:I505" totalsRowShown="0" headerRowDxfId="37" dataDxfId="36">
  <autoFilter ref="A5:I505" xr:uid="{DEC3E222-7D3B-4784-B2DD-9408A7226BDA}"/>
  <tableColumns count="9">
    <tableColumn id="1" xr3:uid="{A7771CE9-E8CF-4716-A449-7BB3E993FED7}" name="ACCOUNT" dataDxfId="35">
      <calculatedColumnFormula>IF($A$2=0,"Please select an account",$A$2)</calculatedColumnFormula>
    </tableColumn>
    <tableColumn id="2" xr3:uid="{56D00888-C78C-4ADB-AA95-DBBF9F3B9A09}" name="STATEMENT DATE" dataDxfId="34">
      <calculatedColumnFormula>IF(TEXT($B$2,"YYYY-MM-DD")&lt;&gt;"1900-01-00",TEXT($B$2,"YYYY-MM-DD"),"Please enter a date")</calculatedColumnFormula>
    </tableColumn>
    <tableColumn id="3" xr3:uid="{2978D370-F47B-49AB-8627-5E5C6860787C}" name="TRANSACTION DATE" dataDxfId="33"/>
    <tableColumn id="4" xr3:uid="{C9BD85A8-B179-45F9-B91E-09E7E8E36802}" name="POST DATE" dataDxfId="32"/>
    <tableColumn id="5" xr3:uid="{CDA44B37-E2BE-4D71-8C11-E916DCEA5B83}" name="REFERENCE NUMBER" dataDxfId="31"/>
    <tableColumn id="6" xr3:uid="{903BAC73-92BA-430F-9942-2A2BB4DE5F88}" name="DESCRIPTION" dataDxfId="30"/>
    <tableColumn id="7" xr3:uid="{53F700DC-C606-4F58-87D2-23E67F64D3D5}" name="AMOUNT" dataDxfId="29"/>
    <tableColumn id="8" xr3:uid="{36810008-A7BE-4377-870E-34393D9F15AA}" name="PAYEE" dataDxfId="28"/>
    <tableColumn id="9" xr3:uid="{D871D618-9ABC-4B51-9F73-25B23C0CA2AB}" name="METHOD" dataDxfId="27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7362E8-805B-4607-826B-46C614532BA1}" name="STATEMENT_OUTPUT_VIEW" displayName="STATEMENT_OUTPUT_VIEW" ref="K5:P6" tableType="queryTable" totalsRowShown="0" headerRowDxfId="26" dataDxfId="25">
  <autoFilter ref="K5:P6" xr:uid="{6B7362E8-805B-4607-826B-46C614532BA1}"/>
  <tableColumns count="6">
    <tableColumn id="13" xr3:uid="{12EE470B-AB5E-4FEE-9C2D-EFB635EE101D}" uniqueName="13" name="AccountId" queryTableFieldId="1" dataDxfId="20"/>
    <tableColumn id="14" xr3:uid="{83C4015B-77BA-4256-8ACB-834B968F926B}" uniqueName="14" name="StatementDate" queryTableFieldId="2" dataDxfId="19"/>
    <tableColumn id="15" xr3:uid="{8672A8B2-74C1-45B0-8B0C-79758BCEA1BC}" uniqueName="15" name="StartDate" queryTableFieldId="3" dataDxfId="18"/>
    <tableColumn id="16" xr3:uid="{F01E0128-6F61-4BF3-99FB-4F5EA94D63D7}" uniqueName="16" name="EndDate" queryTableFieldId="4" dataDxfId="17"/>
    <tableColumn id="17" xr3:uid="{317145B8-319A-4108-80CE-8F2A07A0AB31}" uniqueName="17" name="StartBalance" queryTableFieldId="5" dataDxfId="16"/>
    <tableColumn id="18" xr3:uid="{933E98E5-F49C-4B61-BA53-F8D1F15A9BE5}" uniqueName="18" name="EndBalance" queryTableFieldId="6" dataDxfId="15"/>
  </tableColumns>
  <tableStyleInfo name="TableStyleMedium20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85A51E9-5210-46BE-947C-FD9CA5D1F45E}" name="STATEMENT_ITEM_OUTPUT_VIEW" displayName="STATEMENT_ITEM_OUTPUT_VIEW" ref="K8:S9" tableType="queryTable" insertRow="1" totalsRowShown="0" headerRowDxfId="24" dataDxfId="23">
  <autoFilter ref="K8:S9" xr:uid="{485A51E9-5210-46BE-947C-FD9CA5D1F45E}"/>
  <tableColumns count="9">
    <tableColumn id="19" xr3:uid="{FD5921F2-AF24-4BB7-859A-780BA79E9A60}" uniqueName="19" name="MethodId" queryTableFieldId="1" dataDxfId="11"/>
    <tableColumn id="20" xr3:uid="{FFE46943-0757-47A9-894A-F9BD7C9B1915}" uniqueName="20" name="PayeeId" queryTableFieldId="2" dataDxfId="10"/>
    <tableColumn id="21" xr3:uid="{8528DFB2-F61D-4B41-BBDF-9AFC2D0CEE61}" uniqueName="21" name="TransactionDate" queryTableFieldId="3" dataDxfId="9"/>
    <tableColumn id="22" xr3:uid="{71FD641C-D29B-430B-8EFE-9E9AA23FF441}" uniqueName="22" name="PostDate" queryTableFieldId="4" dataDxfId="8"/>
    <tableColumn id="23" xr3:uid="{A13837D2-DD25-4A80-9027-D9D54F9C12B7}" uniqueName="23" name="ReferenceNumber" queryTableFieldId="5" dataDxfId="7"/>
    <tableColumn id="24" xr3:uid="{99545214-B1C7-46BB-B196-8785903CF95A}" uniqueName="24" name="Amount" queryTableFieldId="6" dataDxfId="6"/>
    <tableColumn id="25" xr3:uid="{A2C1C045-0E28-493C-BA21-ECEBD29E785A}" uniqueName="25" name="Description" queryTableFieldId="7" dataDxfId="5"/>
    <tableColumn id="26" xr3:uid="{B0703AF6-6D96-485F-8F23-E2CDDA4712B5}" uniqueName="26" name="StatementDate" queryTableFieldId="8" dataDxfId="4"/>
    <tableColumn id="27" xr3:uid="{FAC8F0AB-A5CD-4AD1-B733-8086453366A3}" uniqueName="27" name="AccountId" queryTableFieldId="9" dataDxfId="3"/>
  </tableColumns>
  <tableStyleInfo name="TableStyleMedium20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59D2BF-9C78-4441-8476-F6C6DB9EE5BC}" name="PDF_Data" displayName="PDF_Data" ref="A1:C2" tableType="queryTable" insertRow="1" totalsRowShown="0">
  <autoFilter ref="A1:C2" xr:uid="{A859D2BF-9C78-4441-8476-F6C6DB9EE5BC}"/>
  <tableColumns count="3">
    <tableColumn id="5" xr3:uid="{DF0654D3-53EC-41B1-B146-CCE3903BD75E}" uniqueName="5" name="Name" queryTableFieldId="5"/>
    <tableColumn id="6" xr3:uid="{A0C31492-7C3B-4AE0-AD96-5D3BE2AFA28A}" uniqueName="6" name="Kind" queryTableFieldId="6"/>
    <tableColumn id="7" xr3:uid="{F16F1564-C975-4790-AC44-8233ADADC280}" uniqueName="7" name="Data" queryTableFieldId="7"/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1F4D96-428B-4C50-AB68-C0EBB200B332}" name="STATEMENT_STATEMENT_ITEM_OUTPUT" displayName="STATEMENT_STATEMENT_ITEM_OUTPUT" ref="A1:R2" tableType="queryTable" insertRow="1" totalsRowShown="0">
  <autoFilter ref="A1:R2" xr:uid="{071F4D96-428B-4C50-AB68-C0EBB200B332}">
    <filterColumn colId="0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9" hiddenButton="1"/>
    <filterColumn colId="10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8">
    <tableColumn id="1" xr3:uid="{135F7B31-5742-4049-9397-1D90D402CA57}" uniqueName="1" name="AccountId" queryTableFieldId="1"/>
    <tableColumn id="14" xr3:uid="{B2D47A9A-3830-49A4-8A28-DBFF99B8AAD1}" uniqueName="14" name="StatementId" queryTableFieldId="14"/>
    <tableColumn id="2" xr3:uid="{658E89BE-31E9-48E2-A301-4A75D96BF610}" uniqueName="2" name="StatementDate" queryTableFieldId="2" dataDxfId="14"/>
    <tableColumn id="3" xr3:uid="{3FB9DAFE-FA81-4496-B059-1BFDBC0BDA48}" uniqueName="3" name="StartDate" queryTableFieldId="3" dataDxfId="13"/>
    <tableColumn id="4" xr3:uid="{225D0E7C-01AB-4B7C-8648-DE8F518A4D68}" uniqueName="4" name="EndDate" queryTableFieldId="4" dataDxfId="12"/>
    <tableColumn id="5" xr3:uid="{BDE66DE1-2621-45F1-BD8C-40C672164DA1}" uniqueName="5" name="StartBalance" queryTableFieldId="5"/>
    <tableColumn id="6" xr3:uid="{213C3F27-E3B5-4521-BC82-D034B0D78D7A}" uniqueName="6" name="EndBalance" queryTableFieldId="6"/>
    <tableColumn id="15" xr3:uid="{0CD4B208-5A77-463E-8013-44CECF0E7D96}" uniqueName="15" name="StatementImageId" queryTableFieldId="15"/>
    <tableColumn id="16" xr3:uid="{6E456D99-43C7-4753-85CC-524AC28D59A8}" uniqueName="16" name="StatementItemId" queryTableFieldId="16"/>
    <tableColumn id="7" xr3:uid="{5435CF06-1B4F-4CF2-BBD7-8D6A010D56B5}" uniqueName="7" name="MethodId" queryTableFieldId="7"/>
    <tableColumn id="8" xr3:uid="{1A34298D-9065-455B-BCAE-0E1BB0D257E5}" uniqueName="8" name="PayeeId" queryTableFieldId="8"/>
    <tableColumn id="17" xr3:uid="{A356EBE1-0336-4B10-B93F-291F0C6B2A24}" uniqueName="17" name="InvoiceId" queryTableFieldId="17"/>
    <tableColumn id="9" xr3:uid="{B2BEFE28-67C5-4907-8ED8-952307A9F61A}" uniqueName="9" name="TransactionDate" queryTableFieldId="9"/>
    <tableColumn id="10" xr3:uid="{63C8418F-768F-4A7C-A3A3-CA19E9C88171}" uniqueName="10" name="PostDate" queryTableFieldId="10"/>
    <tableColumn id="11" xr3:uid="{D63C055D-EBD9-42E6-8D90-42CE6E5E5FA6}" uniqueName="11" name="ReferenceNumber" queryTableFieldId="11"/>
    <tableColumn id="12" xr3:uid="{6FBECE99-C826-4082-AE89-4BAAD2717B35}" uniqueName="12" name="Amount" queryTableFieldId="12"/>
    <tableColumn id="13" xr3:uid="{C36129DE-5A83-41DA-814F-8D1BE45666D1}" uniqueName="13" name="Description" queryTableFieldId="13"/>
    <tableColumn id="18" xr3:uid="{D4BD8E5C-1480-4EB0-803C-C11EBFB0F8E9}" uniqueName="18" name="StatementItemImageId" queryTableFieldId="18"/>
  </tableColumns>
  <tableStyleInfo name="TableStyleMedium20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EFE44-33FF-4DA5-A195-18E935F5D8C4}" name="ACCOUNTS" displayName="ACCOUNTS" ref="A1:B2" tableType="queryTable" insertRow="1" totalsRowShown="0">
  <autoFilter ref="A1:B2" xr:uid="{F64EFE44-33FF-4DA5-A195-18E935F5D8C4}"/>
  <tableColumns count="2">
    <tableColumn id="1" xr3:uid="{7660B82A-2991-45CD-97DF-CB0C9B219CD8}" uniqueName="1" name="Account" queryTableFieldId="1"/>
    <tableColumn id="2" xr3:uid="{680366FF-6A9B-4B82-9F77-488D20ECD1C1}" uniqueName="2" name="AccountI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341839-8656-4340-8063-B4FAFDBF8BCD}" name="PAYEES" displayName="PAYEES" ref="J1:K2" tableType="queryTable" insertRow="1" totalsRowShown="0">
  <autoFilter ref="J1:K2" xr:uid="{A7341839-8656-4340-8063-B4FAFDBF8BCD}"/>
  <tableColumns count="2">
    <tableColumn id="1" xr3:uid="{224CB45A-5E03-456C-9BAF-0ADD78AF5A0B}" uniqueName="1" name="PayeeName" queryTableFieldId="2"/>
    <tableColumn id="2" xr3:uid="{D75ADAEA-E1B9-4038-9AC5-7E673D006460}" uniqueName="2" name="PayeeId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4D295A-BAA4-4613-BAEB-E75814612C12}" name="METHODS" displayName="METHODS" ref="D1:G2" tableType="queryTable" insertRow="1" totalsRowShown="0">
  <autoFilter ref="D1:G2" xr:uid="{E94D295A-BAA4-4613-BAEB-E75814612C12}"/>
  <tableColumns count="4">
    <tableColumn id="1" xr3:uid="{F3B9E3C3-A6B5-4711-A020-538253E428E9}" uniqueName="1" name="Account" queryTableFieldId="1"/>
    <tableColumn id="2" xr3:uid="{B7CDBC21-4F78-4F87-AA6C-4AEC82B847CD}" uniqueName="2" name="Method" queryTableFieldId="2"/>
    <tableColumn id="3" xr3:uid="{1FE362EC-2413-474E-98BA-34AC6ED65DEA}" uniqueName="3" name="AccountId" queryTableFieldId="3"/>
    <tableColumn id="4" xr3:uid="{88DB28A6-BF94-4543-9967-E9A4ADC045B5}" uniqueName="4" name="Method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B675CD-F00A-41F8-A57B-7166065F11D6}" name="Statements" displayName="Statements" ref="R1:W2" tableType="queryTable" insertRow="1" totalsRowShown="0">
  <autoFilter ref="R1:W2" xr:uid="{AFB675CD-F00A-41F8-A57B-7166065F11D6}"/>
  <tableColumns count="6">
    <tableColumn id="1" xr3:uid="{34614503-A3FF-4A0F-9BC7-A6A845BAC15D}" uniqueName="1" name="AccountDisplayName" queryTableFieldId="7"/>
    <tableColumn id="2" xr3:uid="{6B617316-AE25-4BCE-9083-EB63DDC5D8F5}" uniqueName="2" name="StatementDate" queryTableFieldId="8" dataDxfId="2"/>
    <tableColumn id="3" xr3:uid="{DC4B79EC-B266-4EEC-A26D-3AF1D550926A}" uniqueName="3" name="StartDate" queryTableFieldId="9" dataDxfId="1"/>
    <tableColumn id="4" xr3:uid="{DE08E1D3-D5AC-4425-9C1B-42900CC40519}" uniqueName="4" name="EndDate" queryTableFieldId="10" dataDxfId="0"/>
    <tableColumn id="5" xr3:uid="{A4A3BA49-E5BB-48DE-89DE-1677E7E73FAC}" uniqueName="5" name="StartBalance" queryTableFieldId="11"/>
    <tableColumn id="6" xr3:uid="{6EC82ED7-F0C0-4291-9A96-B8442D9EF364}" uniqueName="6" name="EndBala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F398-E762-481A-8E1D-941211CBBC58}">
  <sheetPr>
    <tabColor theme="1"/>
  </sheetPr>
  <dimension ref="A1:AB23"/>
  <sheetViews>
    <sheetView tabSelected="1" workbookViewId="0"/>
  </sheetViews>
  <sheetFormatPr defaultRowHeight="16.5" x14ac:dyDescent="0.3"/>
  <cols>
    <col min="1" max="1" width="19.5703125" style="32" bestFit="1" customWidth="1"/>
    <col min="2" max="2" width="14.85546875" style="32" bestFit="1" customWidth="1"/>
    <col min="3" max="16384" width="9.140625" style="32"/>
  </cols>
  <sheetData>
    <row r="1" spans="1:28" x14ac:dyDescent="0.3">
      <c r="A1" s="37" t="s">
        <v>46</v>
      </c>
    </row>
    <row r="3" spans="1:28" x14ac:dyDescent="0.3">
      <c r="A3" s="37" t="s">
        <v>47</v>
      </c>
      <c r="K3" s="37" t="s">
        <v>51</v>
      </c>
    </row>
    <row r="4" spans="1:28" x14ac:dyDescent="0.3">
      <c r="A4" s="33"/>
      <c r="B4" s="34"/>
      <c r="C4" s="32" t="s">
        <v>48</v>
      </c>
      <c r="K4" s="39" t="s">
        <v>52</v>
      </c>
      <c r="AB4" s="38" t="s">
        <v>54</v>
      </c>
    </row>
    <row r="5" spans="1:28" x14ac:dyDescent="0.3">
      <c r="A5" s="35"/>
      <c r="B5" s="35"/>
      <c r="C5" s="32" t="s">
        <v>49</v>
      </c>
    </row>
    <row r="6" spans="1:28" x14ac:dyDescent="0.3">
      <c r="A6" s="36"/>
      <c r="B6" s="36"/>
      <c r="C6" s="32" t="s">
        <v>50</v>
      </c>
    </row>
    <row r="9" spans="1:28" x14ac:dyDescent="0.3">
      <c r="A9" s="42" t="s">
        <v>62</v>
      </c>
      <c r="B9" s="43" t="s">
        <v>61</v>
      </c>
    </row>
    <row r="10" spans="1:28" x14ac:dyDescent="0.3">
      <c r="A10" s="42" t="s">
        <v>63</v>
      </c>
      <c r="B10" s="43">
        <v>1434</v>
      </c>
    </row>
    <row r="11" spans="1:28" x14ac:dyDescent="0.3">
      <c r="A11" s="42" t="s">
        <v>64</v>
      </c>
      <c r="B11" s="43" t="s">
        <v>60</v>
      </c>
    </row>
    <row r="23" spans="11:11" x14ac:dyDescent="0.3">
      <c r="K23" s="38" t="s">
        <v>53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95DA-E16C-4D57-BF17-6EB8D816ECD2}">
  <sheetPr>
    <tabColor theme="1"/>
  </sheetPr>
  <dimension ref="A1:AI505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x14ac:dyDescent="0.25"/>
  <cols>
    <col min="1" max="1" width="61.7109375" style="1" bestFit="1" customWidth="1"/>
    <col min="2" max="2" width="22.140625" style="1" customWidth="1"/>
    <col min="3" max="3" width="55.85546875" style="4" customWidth="1"/>
    <col min="4" max="4" width="22.28515625" style="4" customWidth="1"/>
    <col min="5" max="5" width="25.85546875" style="4" customWidth="1"/>
    <col min="6" max="6" width="51.85546875" style="4" customWidth="1"/>
    <col min="7" max="7" width="27.7109375" style="4" customWidth="1"/>
    <col min="8" max="9" width="44.85546875" style="4" customWidth="1"/>
    <col min="10" max="10" width="6.85546875" customWidth="1"/>
    <col min="11" max="11" width="38.5703125" bestFit="1" customWidth="1"/>
    <col min="12" max="12" width="30.140625" customWidth="1"/>
    <col min="13" max="13" width="17.7109375" bestFit="1" customWidth="1"/>
    <col min="14" max="14" width="11.42578125" bestFit="1" customWidth="1"/>
    <col min="15" max="15" width="20" bestFit="1" customWidth="1"/>
    <col min="16" max="16" width="19.5703125" customWidth="1"/>
    <col min="17" max="17" width="13.42578125" style="10" bestFit="1" customWidth="1"/>
    <col min="18" max="18" width="16.85546875" style="15" bestFit="1" customWidth="1"/>
    <col min="19" max="19" width="12.140625" style="4" bestFit="1" customWidth="1"/>
    <col min="20" max="20" width="10.42578125" bestFit="1" customWidth="1"/>
    <col min="21" max="21" width="28.28515625" style="28" bestFit="1" customWidth="1"/>
    <col min="22" max="22" width="20.7109375" style="28" bestFit="1" customWidth="1"/>
    <col min="23" max="23" width="14.7109375" style="28" bestFit="1" customWidth="1"/>
    <col min="24" max="24" width="22.5703125" style="15" bestFit="1" customWidth="1"/>
    <col min="25" max="25" width="15.5703125" style="15" bestFit="1" customWidth="1"/>
    <col min="26" max="26" width="12.85546875" bestFit="1" customWidth="1"/>
    <col min="27" max="27" width="11.5703125" bestFit="1" customWidth="1"/>
    <col min="28" max="28" width="12.85546875" bestFit="1" customWidth="1"/>
    <col min="30" max="30" width="21.7109375" style="28" bestFit="1" customWidth="1"/>
    <col min="31" max="31" width="16.5703125" style="28" bestFit="1" customWidth="1"/>
    <col min="32" max="32" width="16.28515625" style="28" bestFit="1" customWidth="1"/>
    <col min="33" max="33" width="18.42578125" style="15" bestFit="1" customWidth="1"/>
    <col min="34" max="34" width="17.140625" style="15" bestFit="1" customWidth="1"/>
  </cols>
  <sheetData>
    <row r="1" spans="1:35" ht="15.75" thickBot="1" x14ac:dyDescent="0.3">
      <c r="A1" s="2" t="s">
        <v>0</v>
      </c>
      <c r="B1" s="2" t="s">
        <v>1</v>
      </c>
      <c r="C1" s="5" t="s">
        <v>12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K1" s="4" t="s">
        <v>28</v>
      </c>
      <c r="L1" s="4" t="s">
        <v>29</v>
      </c>
      <c r="U1"/>
      <c r="W1"/>
      <c r="X1"/>
      <c r="Y1"/>
    </row>
    <row r="2" spans="1:35" ht="57.75" customHeight="1" thickBot="1" x14ac:dyDescent="0.3">
      <c r="A2" s="7"/>
      <c r="B2" s="3"/>
      <c r="C2" s="20"/>
      <c r="D2" s="3"/>
      <c r="E2" s="3"/>
      <c r="F2" s="8"/>
      <c r="G2" s="8"/>
      <c r="H2" s="18">
        <f>PERIOD_END_BALANCE-PERIOD_START_BALANCE</f>
        <v>0</v>
      </c>
      <c r="I2" s="19">
        <f>SUM(STATEMENT_DATA[AMOUNT])</f>
        <v>0</v>
      </c>
      <c r="K2" s="17">
        <f>ROUND(I2-H2, 3)</f>
        <v>0</v>
      </c>
      <c r="L2" s="29" cm="1">
        <f t="array" ref="L2">IFERROR(ROWS(_xlfn._xlws.FILTER(STATEMENT_DATA[], STATEMENT_DATA[TRANSACTION DATE]&lt;&gt;"")),0)-(ROWS(_xlfn.UNIQUE('Duplicate logic'!B1:D500))-1)</f>
        <v>0</v>
      </c>
      <c r="U2"/>
      <c r="W2"/>
      <c r="X2"/>
      <c r="Y2"/>
    </row>
    <row r="3" spans="1:35" x14ac:dyDescent="0.25">
      <c r="U3"/>
      <c r="V3"/>
      <c r="W3"/>
      <c r="X3"/>
      <c r="Y3"/>
    </row>
    <row r="4" spans="1:35" ht="15.75" thickBot="1" x14ac:dyDescent="0.3">
      <c r="Q4"/>
      <c r="U4"/>
      <c r="V4"/>
      <c r="W4"/>
      <c r="X4"/>
      <c r="Y4"/>
    </row>
    <row r="5" spans="1:35" ht="15.75" thickBot="1" x14ac:dyDescent="0.3">
      <c r="A5" s="2" t="s">
        <v>0</v>
      </c>
      <c r="B5" s="2" t="s">
        <v>1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K5" s="1" t="s">
        <v>38</v>
      </c>
      <c r="L5" s="1" t="s">
        <v>33</v>
      </c>
      <c r="M5" s="1" t="s">
        <v>34</v>
      </c>
      <c r="N5" s="1" t="s">
        <v>35</v>
      </c>
      <c r="O5" s="1" t="s">
        <v>36</v>
      </c>
      <c r="P5" s="1" t="s">
        <v>37</v>
      </c>
      <c r="Q5" s="1"/>
      <c r="U5" s="30" t="s">
        <v>23</v>
      </c>
      <c r="V5" s="30" t="s">
        <v>24</v>
      </c>
      <c r="W5" s="30" t="s">
        <v>25</v>
      </c>
      <c r="X5" s="31" t="s">
        <v>26</v>
      </c>
      <c r="Y5" s="31" t="s">
        <v>27</v>
      </c>
      <c r="AD5"/>
      <c r="AE5"/>
      <c r="AF5"/>
      <c r="AG5"/>
      <c r="AH5"/>
    </row>
    <row r="6" spans="1:35" ht="15" customHeight="1" x14ac:dyDescent="0.25">
      <c r="A6" s="21" t="str">
        <f t="shared" ref="A6:A69" si="0">IF($A$2=0,"Please select an account",$A$2)</f>
        <v>Please select an account</v>
      </c>
      <c r="B6" s="22" t="str">
        <f t="shared" ref="B6:B69" si="1">IF(TEXT($B$2,"YYYY-MM-DD")&lt;&gt;"1900-01-00",TEXT($B$2,"YYYY-MM-DD"),"Please enter a date")</f>
        <v>Please enter a date</v>
      </c>
      <c r="C6" s="11"/>
      <c r="D6" s="12"/>
      <c r="E6" s="6"/>
      <c r="F6" s="13"/>
      <c r="G6" s="9"/>
      <c r="H6" s="7"/>
      <c r="I6" s="7"/>
      <c r="K6" s="1"/>
      <c r="L6" s="28"/>
      <c r="M6" s="41"/>
      <c r="N6" s="41"/>
      <c r="O6" s="1"/>
      <c r="P6" s="1"/>
      <c r="Q6" s="4"/>
      <c r="R6" s="1"/>
      <c r="U6" s="28" cm="1">
        <f t="array" ref="U6:Y6">_xlfn._xlws.FILTER(Statements[[StatementDate]:[EndBalance]], Statements[AccountDisplayName]=SELECTED_ACCOUNT, "")</f>
        <v>0</v>
      </c>
      <c r="V6" s="28">
        <v>0</v>
      </c>
      <c r="W6" s="28">
        <v>0</v>
      </c>
      <c r="X6" s="15">
        <v>0</v>
      </c>
      <c r="Y6" s="15">
        <v>0</v>
      </c>
      <c r="AD6"/>
      <c r="AE6"/>
      <c r="AF6"/>
      <c r="AG6"/>
      <c r="AH6"/>
    </row>
    <row r="7" spans="1:35" ht="15" customHeight="1" x14ac:dyDescent="0.25">
      <c r="A7" s="23" t="str">
        <f t="shared" si="0"/>
        <v>Please select an account</v>
      </c>
      <c r="B7" s="24" t="str">
        <f t="shared" si="1"/>
        <v>Please enter a date</v>
      </c>
      <c r="C7" s="11"/>
      <c r="D7" s="12"/>
      <c r="E7" s="6"/>
      <c r="F7" s="13"/>
      <c r="G7" s="9"/>
      <c r="H7" s="7"/>
      <c r="I7" s="7"/>
      <c r="K7" s="1"/>
      <c r="L7" s="1"/>
      <c r="M7" s="1"/>
      <c r="N7" s="1"/>
      <c r="O7" s="1"/>
      <c r="P7" s="1"/>
      <c r="Q7" s="1"/>
      <c r="R7" s="1"/>
      <c r="S7" s="1"/>
      <c r="AB7" s="28"/>
      <c r="AC7" s="28"/>
      <c r="AE7" s="15"/>
      <c r="AF7" s="15"/>
      <c r="AG7" s="16"/>
      <c r="AH7"/>
    </row>
    <row r="8" spans="1:35" ht="15" customHeight="1" x14ac:dyDescent="0.25">
      <c r="A8" s="23" t="str">
        <f t="shared" si="0"/>
        <v>Please select an account</v>
      </c>
      <c r="B8" s="24" t="str">
        <f t="shared" si="1"/>
        <v>Please enter a date</v>
      </c>
      <c r="C8" s="11"/>
      <c r="D8" s="12"/>
      <c r="E8" s="6"/>
      <c r="F8" s="13"/>
      <c r="G8" s="9"/>
      <c r="H8" s="7"/>
      <c r="I8" s="7"/>
      <c r="K8" s="1" t="s">
        <v>39</v>
      </c>
      <c r="L8" s="1" t="s">
        <v>40</v>
      </c>
      <c r="M8" s="1" t="s">
        <v>41</v>
      </c>
      <c r="N8" s="1" t="s">
        <v>42</v>
      </c>
      <c r="O8" s="1" t="s">
        <v>43</v>
      </c>
      <c r="P8" s="1" t="s">
        <v>45</v>
      </c>
      <c r="Q8" s="1" t="s">
        <v>44</v>
      </c>
      <c r="R8" s="1" t="s">
        <v>33</v>
      </c>
      <c r="S8" s="1" t="s">
        <v>38</v>
      </c>
      <c r="AB8" s="28"/>
      <c r="AC8" s="28"/>
      <c r="AE8" s="15"/>
      <c r="AF8" s="15"/>
      <c r="AG8" s="16"/>
      <c r="AH8"/>
    </row>
    <row r="9" spans="1:35" ht="15" customHeight="1" x14ac:dyDescent="0.25">
      <c r="A9" s="23" t="str">
        <f t="shared" si="0"/>
        <v>Please select an account</v>
      </c>
      <c r="B9" s="24" t="str">
        <f t="shared" si="1"/>
        <v>Please enter a date</v>
      </c>
      <c r="C9" s="11"/>
      <c r="D9" s="12"/>
      <c r="E9" s="6"/>
      <c r="F9" s="13"/>
      <c r="G9" s="9"/>
      <c r="H9" s="7"/>
      <c r="I9" s="7"/>
      <c r="K9" s="1"/>
      <c r="L9" s="1"/>
      <c r="M9" s="1"/>
      <c r="N9" s="1"/>
      <c r="O9" s="1"/>
      <c r="P9" s="1"/>
      <c r="Q9" s="1"/>
      <c r="R9" s="28"/>
      <c r="S9" s="1"/>
      <c r="AI9" s="16"/>
    </row>
    <row r="10" spans="1:35" ht="15" customHeight="1" x14ac:dyDescent="0.25">
      <c r="A10" s="23" t="str">
        <f t="shared" si="0"/>
        <v>Please select an account</v>
      </c>
      <c r="B10" s="24" t="str">
        <f t="shared" si="1"/>
        <v>Please enter a date</v>
      </c>
      <c r="C10" s="11"/>
      <c r="D10" s="12"/>
      <c r="E10" s="6"/>
      <c r="F10" s="13"/>
      <c r="G10" s="9"/>
      <c r="H10" s="7"/>
      <c r="I10" s="7"/>
      <c r="AI10" s="16"/>
    </row>
    <row r="11" spans="1:35" ht="15" customHeight="1" x14ac:dyDescent="0.25">
      <c r="A11" s="23" t="str">
        <f t="shared" si="0"/>
        <v>Please select an account</v>
      </c>
      <c r="B11" s="24" t="str">
        <f t="shared" si="1"/>
        <v>Please enter a date</v>
      </c>
      <c r="C11" s="11"/>
      <c r="D11" s="12"/>
      <c r="E11" s="6"/>
      <c r="F11" s="13"/>
      <c r="G11" s="9"/>
      <c r="H11" s="7"/>
      <c r="I11" s="7"/>
      <c r="AI11" s="16"/>
    </row>
    <row r="12" spans="1:35" ht="15" customHeight="1" x14ac:dyDescent="0.25">
      <c r="A12" s="23" t="str">
        <f t="shared" si="0"/>
        <v>Please select an account</v>
      </c>
      <c r="B12" s="24" t="str">
        <f t="shared" si="1"/>
        <v>Please enter a date</v>
      </c>
      <c r="C12" s="11"/>
      <c r="D12" s="12"/>
      <c r="E12" s="6"/>
      <c r="F12" s="13"/>
      <c r="G12" s="9"/>
      <c r="H12" s="7"/>
      <c r="I12" s="7"/>
      <c r="AI12" s="16"/>
    </row>
    <row r="13" spans="1:35" ht="15" customHeight="1" x14ac:dyDescent="0.25">
      <c r="A13" s="23" t="str">
        <f t="shared" si="0"/>
        <v>Please select an account</v>
      </c>
      <c r="B13" s="24" t="str">
        <f t="shared" si="1"/>
        <v>Please enter a date</v>
      </c>
      <c r="C13" s="11"/>
      <c r="D13" s="12"/>
      <c r="E13" s="6"/>
      <c r="F13" s="13"/>
      <c r="G13" s="9"/>
      <c r="H13" s="7"/>
      <c r="I13" s="7"/>
      <c r="AI13" s="16"/>
    </row>
    <row r="14" spans="1:35" ht="15" customHeight="1" x14ac:dyDescent="0.25">
      <c r="A14" s="23" t="str">
        <f t="shared" si="0"/>
        <v>Please select an account</v>
      </c>
      <c r="B14" s="24" t="str">
        <f t="shared" si="1"/>
        <v>Please enter a date</v>
      </c>
      <c r="C14" s="11"/>
      <c r="D14" s="12"/>
      <c r="E14" s="6"/>
      <c r="F14" s="13"/>
      <c r="G14" s="9"/>
      <c r="H14" s="7"/>
      <c r="I14" s="7"/>
      <c r="AI14" s="16"/>
    </row>
    <row r="15" spans="1:35" ht="15" customHeight="1" x14ac:dyDescent="0.25">
      <c r="A15" s="23" t="str">
        <f t="shared" si="0"/>
        <v>Please select an account</v>
      </c>
      <c r="B15" s="24" t="str">
        <f t="shared" si="1"/>
        <v>Please enter a date</v>
      </c>
      <c r="C15" s="11"/>
      <c r="D15" s="12"/>
      <c r="E15" s="6"/>
      <c r="F15" s="13"/>
      <c r="G15" s="9"/>
      <c r="H15" s="7"/>
      <c r="I15" s="7"/>
      <c r="AI15" s="16"/>
    </row>
    <row r="16" spans="1:35" ht="15" customHeight="1" x14ac:dyDescent="0.25">
      <c r="A16" s="23" t="str">
        <f t="shared" si="0"/>
        <v>Please select an account</v>
      </c>
      <c r="B16" s="24" t="str">
        <f t="shared" si="1"/>
        <v>Please enter a date</v>
      </c>
      <c r="C16" s="11"/>
      <c r="D16" s="12"/>
      <c r="E16" s="6"/>
      <c r="F16" s="13"/>
      <c r="G16" s="9"/>
      <c r="H16" s="7"/>
      <c r="I16" s="7"/>
      <c r="AI16" s="16"/>
    </row>
    <row r="17" spans="1:35" ht="15" customHeight="1" x14ac:dyDescent="0.25">
      <c r="A17" s="23" t="str">
        <f t="shared" si="0"/>
        <v>Please select an account</v>
      </c>
      <c r="B17" s="24" t="str">
        <f t="shared" si="1"/>
        <v>Please enter a date</v>
      </c>
      <c r="C17" s="11"/>
      <c r="D17" s="12"/>
      <c r="E17" s="6"/>
      <c r="F17" s="13"/>
      <c r="G17" s="9"/>
      <c r="H17" s="7"/>
      <c r="I17" s="7"/>
      <c r="AI17" s="16"/>
    </row>
    <row r="18" spans="1:35" ht="15" customHeight="1" x14ac:dyDescent="0.25">
      <c r="A18" s="23" t="str">
        <f t="shared" si="0"/>
        <v>Please select an account</v>
      </c>
      <c r="B18" s="24" t="str">
        <f t="shared" si="1"/>
        <v>Please enter a date</v>
      </c>
      <c r="C18" s="11"/>
      <c r="D18" s="12"/>
      <c r="E18" s="6"/>
      <c r="F18" s="13"/>
      <c r="G18" s="9"/>
      <c r="H18" s="7"/>
      <c r="I18" s="7"/>
      <c r="AI18" s="16"/>
    </row>
    <row r="19" spans="1:35" ht="15" customHeight="1" x14ac:dyDescent="0.25">
      <c r="A19" s="23" t="str">
        <f t="shared" si="0"/>
        <v>Please select an account</v>
      </c>
      <c r="B19" s="24" t="str">
        <f t="shared" si="1"/>
        <v>Please enter a date</v>
      </c>
      <c r="C19" s="11"/>
      <c r="D19" s="12"/>
      <c r="E19" s="6"/>
      <c r="F19" s="13"/>
      <c r="G19" s="9"/>
      <c r="H19" s="7"/>
      <c r="I19" s="7"/>
      <c r="AI19" s="16"/>
    </row>
    <row r="20" spans="1:35" ht="15" customHeight="1" x14ac:dyDescent="0.25">
      <c r="A20" s="23" t="str">
        <f t="shared" si="0"/>
        <v>Please select an account</v>
      </c>
      <c r="B20" s="24" t="str">
        <f t="shared" si="1"/>
        <v>Please enter a date</v>
      </c>
      <c r="C20" s="11"/>
      <c r="D20" s="12"/>
      <c r="E20" s="6"/>
      <c r="F20" s="13"/>
      <c r="G20" s="9"/>
      <c r="H20" s="7"/>
      <c r="I20" s="7"/>
      <c r="AI20" s="16"/>
    </row>
    <row r="21" spans="1:35" ht="15" customHeight="1" x14ac:dyDescent="0.25">
      <c r="A21" s="23" t="str">
        <f t="shared" si="0"/>
        <v>Please select an account</v>
      </c>
      <c r="B21" s="24" t="str">
        <f t="shared" si="1"/>
        <v>Please enter a date</v>
      </c>
      <c r="C21" s="11"/>
      <c r="D21" s="12"/>
      <c r="E21" s="6"/>
      <c r="F21" s="13"/>
      <c r="G21" s="9"/>
      <c r="H21" s="7"/>
      <c r="I21" s="7"/>
    </row>
    <row r="22" spans="1:35" ht="15" customHeight="1" x14ac:dyDescent="0.25">
      <c r="A22" s="23" t="str">
        <f t="shared" si="0"/>
        <v>Please select an account</v>
      </c>
      <c r="B22" s="24" t="str">
        <f t="shared" si="1"/>
        <v>Please enter a date</v>
      </c>
      <c r="C22" s="11"/>
      <c r="D22" s="12"/>
      <c r="E22" s="6"/>
      <c r="F22" s="13"/>
      <c r="G22" s="9"/>
      <c r="H22" s="7"/>
      <c r="I22" s="7"/>
    </row>
    <row r="23" spans="1:35" ht="15" customHeight="1" x14ac:dyDescent="0.25">
      <c r="A23" s="23" t="str">
        <f t="shared" si="0"/>
        <v>Please select an account</v>
      </c>
      <c r="B23" s="24" t="str">
        <f t="shared" si="1"/>
        <v>Please enter a date</v>
      </c>
      <c r="C23" s="11"/>
      <c r="D23" s="12"/>
      <c r="E23" s="6"/>
      <c r="F23" s="13"/>
      <c r="G23" s="9"/>
      <c r="H23" s="7"/>
      <c r="I23" s="7"/>
    </row>
    <row r="24" spans="1:35" ht="15" customHeight="1" x14ac:dyDescent="0.25">
      <c r="A24" s="23" t="str">
        <f t="shared" si="0"/>
        <v>Please select an account</v>
      </c>
      <c r="B24" s="24" t="str">
        <f t="shared" si="1"/>
        <v>Please enter a date</v>
      </c>
      <c r="C24" s="11"/>
      <c r="D24" s="12"/>
      <c r="E24" s="6"/>
      <c r="F24" s="13"/>
      <c r="G24" s="9"/>
      <c r="H24" s="7"/>
      <c r="I24" s="7"/>
    </row>
    <row r="25" spans="1:35" ht="15" customHeight="1" x14ac:dyDescent="0.25">
      <c r="A25" s="23" t="str">
        <f t="shared" si="0"/>
        <v>Please select an account</v>
      </c>
      <c r="B25" s="24" t="str">
        <f t="shared" si="1"/>
        <v>Please enter a date</v>
      </c>
      <c r="C25" s="11"/>
      <c r="D25" s="12"/>
      <c r="E25" s="6"/>
      <c r="F25" s="13"/>
      <c r="G25" s="9"/>
      <c r="H25" s="7"/>
      <c r="I25" s="7"/>
    </row>
    <row r="26" spans="1:35" ht="15" customHeight="1" x14ac:dyDescent="0.25">
      <c r="A26" s="23" t="str">
        <f t="shared" si="0"/>
        <v>Please select an account</v>
      </c>
      <c r="B26" s="24" t="str">
        <f t="shared" si="1"/>
        <v>Please enter a date</v>
      </c>
      <c r="C26" s="11"/>
      <c r="D26" s="12"/>
      <c r="E26" s="6"/>
      <c r="F26" s="13"/>
      <c r="G26" s="9"/>
      <c r="H26" s="7"/>
      <c r="I26" s="7"/>
    </row>
    <row r="27" spans="1:35" ht="15" customHeight="1" x14ac:dyDescent="0.25">
      <c r="A27" s="23" t="str">
        <f t="shared" si="0"/>
        <v>Please select an account</v>
      </c>
      <c r="B27" s="24" t="str">
        <f t="shared" si="1"/>
        <v>Please enter a date</v>
      </c>
      <c r="C27" s="11"/>
      <c r="D27" s="12"/>
      <c r="E27" s="6"/>
      <c r="F27" s="13"/>
      <c r="G27" s="9"/>
      <c r="H27" s="7"/>
      <c r="I27" s="7"/>
    </row>
    <row r="28" spans="1:35" ht="15" customHeight="1" x14ac:dyDescent="0.25">
      <c r="A28" s="23" t="str">
        <f t="shared" si="0"/>
        <v>Please select an account</v>
      </c>
      <c r="B28" s="24" t="str">
        <f t="shared" si="1"/>
        <v>Please enter a date</v>
      </c>
      <c r="C28" s="11"/>
      <c r="D28" s="12"/>
      <c r="E28" s="6"/>
      <c r="F28" s="13"/>
      <c r="G28" s="9"/>
      <c r="H28" s="7"/>
      <c r="I28" s="7"/>
    </row>
    <row r="29" spans="1:35" ht="15" customHeight="1" x14ac:dyDescent="0.25">
      <c r="A29" s="23" t="str">
        <f t="shared" si="0"/>
        <v>Please select an account</v>
      </c>
      <c r="B29" s="24" t="str">
        <f t="shared" si="1"/>
        <v>Please enter a date</v>
      </c>
      <c r="C29" s="11"/>
      <c r="D29" s="12"/>
      <c r="E29" s="6"/>
      <c r="F29" s="13"/>
      <c r="G29" s="9"/>
      <c r="H29" s="7"/>
      <c r="I29" s="7"/>
    </row>
    <row r="30" spans="1:35" ht="15" customHeight="1" x14ac:dyDescent="0.25">
      <c r="A30" s="23" t="str">
        <f t="shared" si="0"/>
        <v>Please select an account</v>
      </c>
      <c r="B30" s="24" t="str">
        <f t="shared" si="1"/>
        <v>Please enter a date</v>
      </c>
      <c r="C30" s="11"/>
      <c r="D30" s="12"/>
      <c r="E30" s="6"/>
      <c r="F30" s="13"/>
      <c r="G30" s="9"/>
      <c r="H30" s="7"/>
      <c r="I30" s="7"/>
    </row>
    <row r="31" spans="1:35" ht="15" customHeight="1" x14ac:dyDescent="0.25">
      <c r="A31" s="23" t="str">
        <f t="shared" si="0"/>
        <v>Please select an account</v>
      </c>
      <c r="B31" s="24" t="str">
        <f t="shared" si="1"/>
        <v>Please enter a date</v>
      </c>
      <c r="C31" s="11"/>
      <c r="D31" s="12"/>
      <c r="E31" s="6"/>
      <c r="F31" s="13"/>
      <c r="G31" s="9"/>
      <c r="H31" s="7"/>
      <c r="I31" s="7"/>
    </row>
    <row r="32" spans="1:35" ht="15" customHeight="1" x14ac:dyDescent="0.25">
      <c r="A32" s="23" t="str">
        <f t="shared" si="0"/>
        <v>Please select an account</v>
      </c>
      <c r="B32" s="24" t="str">
        <f t="shared" si="1"/>
        <v>Please enter a date</v>
      </c>
      <c r="C32" s="11"/>
      <c r="D32" s="12"/>
      <c r="E32" s="6"/>
      <c r="F32" s="13"/>
      <c r="G32" s="9"/>
      <c r="H32" s="7"/>
      <c r="I32" s="7"/>
    </row>
    <row r="33" spans="1:9" ht="15" customHeight="1" x14ac:dyDescent="0.25">
      <c r="A33" s="23" t="str">
        <f t="shared" si="0"/>
        <v>Please select an account</v>
      </c>
      <c r="B33" s="24" t="str">
        <f t="shared" si="1"/>
        <v>Please enter a date</v>
      </c>
      <c r="C33" s="11"/>
      <c r="D33" s="12"/>
      <c r="E33" s="6"/>
      <c r="F33" s="13"/>
      <c r="G33" s="9"/>
      <c r="H33" s="7"/>
      <c r="I33" s="7"/>
    </row>
    <row r="34" spans="1:9" ht="15" customHeight="1" x14ac:dyDescent="0.25">
      <c r="A34" s="23" t="str">
        <f t="shared" si="0"/>
        <v>Please select an account</v>
      </c>
      <c r="B34" s="24" t="str">
        <f t="shared" si="1"/>
        <v>Please enter a date</v>
      </c>
      <c r="C34" s="11"/>
      <c r="D34" s="12"/>
      <c r="E34" s="6"/>
      <c r="F34" s="13"/>
      <c r="G34" s="9"/>
      <c r="H34" s="7"/>
      <c r="I34" s="7"/>
    </row>
    <row r="35" spans="1:9" ht="15" customHeight="1" x14ac:dyDescent="0.25">
      <c r="A35" s="23" t="str">
        <f t="shared" si="0"/>
        <v>Please select an account</v>
      </c>
      <c r="B35" s="24" t="str">
        <f t="shared" si="1"/>
        <v>Please enter a date</v>
      </c>
      <c r="C35" s="11"/>
      <c r="D35" s="12"/>
      <c r="E35" s="6"/>
      <c r="F35" s="13"/>
      <c r="G35" s="9"/>
      <c r="H35" s="7"/>
      <c r="I35" s="7"/>
    </row>
    <row r="36" spans="1:9" ht="15" customHeight="1" x14ac:dyDescent="0.25">
      <c r="A36" s="23" t="str">
        <f t="shared" si="0"/>
        <v>Please select an account</v>
      </c>
      <c r="B36" s="24" t="str">
        <f t="shared" si="1"/>
        <v>Please enter a date</v>
      </c>
      <c r="C36" s="11"/>
      <c r="D36" s="12"/>
      <c r="E36" s="6"/>
      <c r="F36" s="13"/>
      <c r="G36" s="9"/>
      <c r="H36" s="7"/>
      <c r="I36" s="7"/>
    </row>
    <row r="37" spans="1:9" ht="15" customHeight="1" x14ac:dyDescent="0.25">
      <c r="A37" s="23" t="str">
        <f t="shared" si="0"/>
        <v>Please select an account</v>
      </c>
      <c r="B37" s="24" t="str">
        <f t="shared" si="1"/>
        <v>Please enter a date</v>
      </c>
      <c r="C37" s="11"/>
      <c r="D37" s="12"/>
      <c r="E37" s="6"/>
      <c r="F37" s="13"/>
      <c r="G37" s="9"/>
      <c r="H37" s="7"/>
      <c r="I37" s="7"/>
    </row>
    <row r="38" spans="1:9" ht="15" customHeight="1" x14ac:dyDescent="0.25">
      <c r="A38" s="23" t="str">
        <f t="shared" si="0"/>
        <v>Please select an account</v>
      </c>
      <c r="B38" s="24" t="str">
        <f t="shared" si="1"/>
        <v>Please enter a date</v>
      </c>
      <c r="C38" s="11"/>
      <c r="D38" s="12"/>
      <c r="E38" s="6"/>
      <c r="F38" s="13"/>
      <c r="G38" s="9"/>
      <c r="H38" s="7"/>
      <c r="I38" s="7"/>
    </row>
    <row r="39" spans="1:9" ht="15" customHeight="1" x14ac:dyDescent="0.25">
      <c r="A39" s="23" t="str">
        <f t="shared" si="0"/>
        <v>Please select an account</v>
      </c>
      <c r="B39" s="24" t="str">
        <f t="shared" si="1"/>
        <v>Please enter a date</v>
      </c>
      <c r="C39" s="11"/>
      <c r="D39" s="12"/>
      <c r="E39" s="6"/>
      <c r="F39" s="13"/>
      <c r="G39" s="9"/>
      <c r="H39" s="7"/>
      <c r="I39" s="7"/>
    </row>
    <row r="40" spans="1:9" ht="15" customHeight="1" x14ac:dyDescent="0.25">
      <c r="A40" s="23" t="str">
        <f t="shared" si="0"/>
        <v>Please select an account</v>
      </c>
      <c r="B40" s="24" t="str">
        <f t="shared" si="1"/>
        <v>Please enter a date</v>
      </c>
      <c r="C40" s="11"/>
      <c r="D40" s="12"/>
      <c r="E40" s="6"/>
      <c r="F40" s="13"/>
      <c r="G40" s="9"/>
      <c r="H40" s="7"/>
      <c r="I40" s="7"/>
    </row>
    <row r="41" spans="1:9" ht="15" customHeight="1" x14ac:dyDescent="0.25">
      <c r="A41" s="23" t="str">
        <f t="shared" si="0"/>
        <v>Please select an account</v>
      </c>
      <c r="B41" s="24" t="str">
        <f t="shared" si="1"/>
        <v>Please enter a date</v>
      </c>
      <c r="C41" s="11"/>
      <c r="D41" s="12"/>
      <c r="E41" s="6"/>
      <c r="F41" s="13"/>
      <c r="G41" s="9"/>
      <c r="H41" s="7"/>
      <c r="I41" s="7"/>
    </row>
    <row r="42" spans="1:9" ht="15" customHeight="1" x14ac:dyDescent="0.25">
      <c r="A42" s="23" t="str">
        <f t="shared" si="0"/>
        <v>Please select an account</v>
      </c>
      <c r="B42" s="24" t="str">
        <f t="shared" si="1"/>
        <v>Please enter a date</v>
      </c>
      <c r="C42" s="11"/>
      <c r="D42" s="12"/>
      <c r="E42" s="6"/>
      <c r="F42" s="13"/>
      <c r="G42" s="9"/>
      <c r="H42" s="7"/>
      <c r="I42" s="7"/>
    </row>
    <row r="43" spans="1:9" ht="15" customHeight="1" x14ac:dyDescent="0.25">
      <c r="A43" s="23" t="str">
        <f t="shared" si="0"/>
        <v>Please select an account</v>
      </c>
      <c r="B43" s="24" t="str">
        <f t="shared" si="1"/>
        <v>Please enter a date</v>
      </c>
      <c r="C43" s="11"/>
      <c r="D43" s="12"/>
      <c r="E43" s="6"/>
      <c r="F43" s="13"/>
      <c r="G43" s="9"/>
      <c r="H43" s="7"/>
      <c r="I43" s="7"/>
    </row>
    <row r="44" spans="1:9" ht="15" customHeight="1" x14ac:dyDescent="0.25">
      <c r="A44" s="23" t="str">
        <f t="shared" si="0"/>
        <v>Please select an account</v>
      </c>
      <c r="B44" s="24" t="str">
        <f t="shared" si="1"/>
        <v>Please enter a date</v>
      </c>
      <c r="C44" s="11"/>
      <c r="D44" s="12"/>
      <c r="E44" s="6"/>
      <c r="F44" s="13"/>
      <c r="G44" s="9"/>
      <c r="H44" s="7"/>
      <c r="I44" s="7"/>
    </row>
    <row r="45" spans="1:9" ht="15" customHeight="1" x14ac:dyDescent="0.25">
      <c r="A45" s="23" t="str">
        <f t="shared" si="0"/>
        <v>Please select an account</v>
      </c>
      <c r="B45" s="24" t="str">
        <f t="shared" si="1"/>
        <v>Please enter a date</v>
      </c>
      <c r="C45" s="11"/>
      <c r="D45" s="12"/>
      <c r="E45" s="6"/>
      <c r="F45" s="13"/>
      <c r="G45" s="9"/>
      <c r="H45" s="7"/>
      <c r="I45" s="7"/>
    </row>
    <row r="46" spans="1:9" ht="15" customHeight="1" x14ac:dyDescent="0.25">
      <c r="A46" s="23" t="str">
        <f t="shared" si="0"/>
        <v>Please select an account</v>
      </c>
      <c r="B46" s="24" t="str">
        <f t="shared" si="1"/>
        <v>Please enter a date</v>
      </c>
      <c r="C46" s="11"/>
      <c r="D46" s="12"/>
      <c r="E46" s="6"/>
      <c r="F46" s="13"/>
      <c r="G46" s="9"/>
      <c r="H46" s="7"/>
      <c r="I46" s="7"/>
    </row>
    <row r="47" spans="1:9" ht="15" customHeight="1" x14ac:dyDescent="0.25">
      <c r="A47" s="23" t="str">
        <f t="shared" si="0"/>
        <v>Please select an account</v>
      </c>
      <c r="B47" s="24" t="str">
        <f t="shared" si="1"/>
        <v>Please enter a date</v>
      </c>
      <c r="C47" s="11"/>
      <c r="D47" s="12"/>
      <c r="E47" s="6"/>
      <c r="F47" s="13"/>
      <c r="G47" s="9"/>
      <c r="H47" s="7"/>
      <c r="I47" s="7"/>
    </row>
    <row r="48" spans="1:9" ht="15" customHeight="1" x14ac:dyDescent="0.25">
      <c r="A48" s="23" t="str">
        <f t="shared" si="0"/>
        <v>Please select an account</v>
      </c>
      <c r="B48" s="24" t="str">
        <f t="shared" si="1"/>
        <v>Please enter a date</v>
      </c>
      <c r="C48" s="11"/>
      <c r="D48" s="12"/>
      <c r="E48" s="6"/>
      <c r="F48" s="13"/>
      <c r="G48" s="9"/>
      <c r="H48" s="7"/>
      <c r="I48" s="7"/>
    </row>
    <row r="49" spans="1:9" ht="15" customHeight="1" x14ac:dyDescent="0.25">
      <c r="A49" s="23" t="str">
        <f t="shared" si="0"/>
        <v>Please select an account</v>
      </c>
      <c r="B49" s="24" t="str">
        <f t="shared" si="1"/>
        <v>Please enter a date</v>
      </c>
      <c r="C49" s="11"/>
      <c r="D49" s="12"/>
      <c r="E49" s="6"/>
      <c r="F49" s="13"/>
      <c r="G49" s="9"/>
      <c r="H49" s="7"/>
      <c r="I49" s="7"/>
    </row>
    <row r="50" spans="1:9" ht="15" customHeight="1" x14ac:dyDescent="0.25">
      <c r="A50" s="23" t="str">
        <f t="shared" si="0"/>
        <v>Please select an account</v>
      </c>
      <c r="B50" s="24" t="str">
        <f t="shared" si="1"/>
        <v>Please enter a date</v>
      </c>
      <c r="C50" s="11"/>
      <c r="D50" s="12"/>
      <c r="E50" s="6"/>
      <c r="F50" s="13"/>
      <c r="G50" s="9"/>
      <c r="H50" s="7"/>
      <c r="I50" s="7"/>
    </row>
    <row r="51" spans="1:9" ht="15" customHeight="1" x14ac:dyDescent="0.25">
      <c r="A51" s="23" t="str">
        <f t="shared" si="0"/>
        <v>Please select an account</v>
      </c>
      <c r="B51" s="24" t="str">
        <f t="shared" si="1"/>
        <v>Please enter a date</v>
      </c>
      <c r="C51" s="11"/>
      <c r="D51" s="12"/>
      <c r="E51" s="6"/>
      <c r="F51" s="13"/>
      <c r="G51" s="9"/>
      <c r="H51" s="7"/>
      <c r="I51" s="7"/>
    </row>
    <row r="52" spans="1:9" ht="15" customHeight="1" x14ac:dyDescent="0.25">
      <c r="A52" s="23" t="str">
        <f t="shared" si="0"/>
        <v>Please select an account</v>
      </c>
      <c r="B52" s="24" t="str">
        <f t="shared" si="1"/>
        <v>Please enter a date</v>
      </c>
      <c r="C52" s="11"/>
      <c r="D52" s="12"/>
      <c r="E52" s="6"/>
      <c r="F52" s="13"/>
      <c r="G52" s="9"/>
      <c r="H52" s="7"/>
      <c r="I52" s="7"/>
    </row>
    <row r="53" spans="1:9" ht="15" customHeight="1" x14ac:dyDescent="0.25">
      <c r="A53" s="23" t="str">
        <f t="shared" si="0"/>
        <v>Please select an account</v>
      </c>
      <c r="B53" s="24" t="str">
        <f t="shared" si="1"/>
        <v>Please enter a date</v>
      </c>
      <c r="C53" s="11"/>
      <c r="D53" s="12"/>
      <c r="E53" s="6"/>
      <c r="F53" s="13"/>
      <c r="G53" s="9"/>
      <c r="H53" s="7"/>
      <c r="I53" s="7"/>
    </row>
    <row r="54" spans="1:9" ht="15" customHeight="1" x14ac:dyDescent="0.25">
      <c r="A54" s="23" t="str">
        <f t="shared" si="0"/>
        <v>Please select an account</v>
      </c>
      <c r="B54" s="24" t="str">
        <f t="shared" si="1"/>
        <v>Please enter a date</v>
      </c>
      <c r="C54" s="11"/>
      <c r="D54" s="12"/>
      <c r="E54" s="6"/>
      <c r="F54" s="13"/>
      <c r="G54" s="9"/>
      <c r="H54" s="7"/>
      <c r="I54" s="7"/>
    </row>
    <row r="55" spans="1:9" ht="15" customHeight="1" x14ac:dyDescent="0.25">
      <c r="A55" s="23" t="str">
        <f t="shared" si="0"/>
        <v>Please select an account</v>
      </c>
      <c r="B55" s="24" t="str">
        <f t="shared" si="1"/>
        <v>Please enter a date</v>
      </c>
      <c r="C55" s="11"/>
      <c r="D55" s="12"/>
      <c r="E55" s="6"/>
      <c r="F55" s="13"/>
      <c r="G55" s="9"/>
      <c r="H55" s="7"/>
      <c r="I55" s="7"/>
    </row>
    <row r="56" spans="1:9" ht="15" customHeight="1" x14ac:dyDescent="0.25">
      <c r="A56" s="23" t="str">
        <f t="shared" si="0"/>
        <v>Please select an account</v>
      </c>
      <c r="B56" s="24" t="str">
        <f t="shared" si="1"/>
        <v>Please enter a date</v>
      </c>
      <c r="C56" s="11"/>
      <c r="D56" s="12"/>
      <c r="E56" s="6"/>
      <c r="F56" s="13"/>
      <c r="G56" s="9"/>
      <c r="H56" s="7"/>
      <c r="I56" s="7"/>
    </row>
    <row r="57" spans="1:9" x14ac:dyDescent="0.25">
      <c r="A57" s="23" t="str">
        <f t="shared" si="0"/>
        <v>Please select an account</v>
      </c>
      <c r="B57" s="24" t="str">
        <f t="shared" si="1"/>
        <v>Please enter a date</v>
      </c>
      <c r="C57" s="11"/>
      <c r="D57" s="12"/>
      <c r="E57" s="6"/>
      <c r="F57" s="13"/>
      <c r="G57" s="9"/>
      <c r="H57" s="7"/>
      <c r="I57" s="7"/>
    </row>
    <row r="58" spans="1:9" x14ac:dyDescent="0.25">
      <c r="A58" s="23" t="str">
        <f t="shared" si="0"/>
        <v>Please select an account</v>
      </c>
      <c r="B58" s="24" t="str">
        <f t="shared" si="1"/>
        <v>Please enter a date</v>
      </c>
      <c r="C58" s="11"/>
      <c r="D58" s="12"/>
      <c r="E58" s="6"/>
      <c r="F58" s="13"/>
      <c r="G58" s="9"/>
      <c r="H58" s="7"/>
      <c r="I58" s="7"/>
    </row>
    <row r="59" spans="1:9" x14ac:dyDescent="0.25">
      <c r="A59" s="23" t="str">
        <f t="shared" si="0"/>
        <v>Please select an account</v>
      </c>
      <c r="B59" s="24" t="str">
        <f t="shared" si="1"/>
        <v>Please enter a date</v>
      </c>
      <c r="C59" s="11"/>
      <c r="D59" s="12"/>
      <c r="E59" s="6"/>
      <c r="F59" s="13"/>
      <c r="G59" s="9"/>
      <c r="H59" s="7"/>
      <c r="I59" s="7"/>
    </row>
    <row r="60" spans="1:9" x14ac:dyDescent="0.25">
      <c r="A60" s="23" t="str">
        <f t="shared" si="0"/>
        <v>Please select an account</v>
      </c>
      <c r="B60" s="24" t="str">
        <f t="shared" si="1"/>
        <v>Please enter a date</v>
      </c>
      <c r="C60" s="11"/>
      <c r="D60" s="12"/>
      <c r="E60" s="6"/>
      <c r="F60" s="13"/>
      <c r="G60" s="9"/>
      <c r="H60" s="7"/>
      <c r="I60" s="7"/>
    </row>
    <row r="61" spans="1:9" x14ac:dyDescent="0.25">
      <c r="A61" s="23" t="str">
        <f t="shared" si="0"/>
        <v>Please select an account</v>
      </c>
      <c r="B61" s="24" t="str">
        <f t="shared" si="1"/>
        <v>Please enter a date</v>
      </c>
      <c r="C61" s="11"/>
      <c r="D61" s="12"/>
      <c r="E61" s="6"/>
      <c r="F61" s="13"/>
      <c r="G61" s="9"/>
      <c r="H61" s="7"/>
      <c r="I61" s="7"/>
    </row>
    <row r="62" spans="1:9" x14ac:dyDescent="0.25">
      <c r="A62" s="23" t="str">
        <f t="shared" si="0"/>
        <v>Please select an account</v>
      </c>
      <c r="B62" s="24" t="str">
        <f t="shared" si="1"/>
        <v>Please enter a date</v>
      </c>
      <c r="C62" s="11"/>
      <c r="D62" s="12"/>
      <c r="E62" s="6"/>
      <c r="F62" s="13"/>
      <c r="G62" s="9"/>
      <c r="H62" s="7"/>
      <c r="I62" s="7"/>
    </row>
    <row r="63" spans="1:9" x14ac:dyDescent="0.25">
      <c r="A63" s="23" t="str">
        <f t="shared" si="0"/>
        <v>Please select an account</v>
      </c>
      <c r="B63" s="24" t="str">
        <f t="shared" si="1"/>
        <v>Please enter a date</v>
      </c>
      <c r="C63" s="11"/>
      <c r="D63" s="12"/>
      <c r="E63" s="6"/>
      <c r="F63" s="13"/>
      <c r="G63" s="9"/>
      <c r="H63" s="7"/>
      <c r="I63" s="7"/>
    </row>
    <row r="64" spans="1:9" x14ac:dyDescent="0.25">
      <c r="A64" s="23" t="str">
        <f t="shared" si="0"/>
        <v>Please select an account</v>
      </c>
      <c r="B64" s="24" t="str">
        <f t="shared" si="1"/>
        <v>Please enter a date</v>
      </c>
      <c r="C64" s="11"/>
      <c r="D64" s="12"/>
      <c r="E64" s="6"/>
      <c r="F64" s="13"/>
      <c r="G64" s="9"/>
      <c r="H64" s="7"/>
      <c r="I64" s="7"/>
    </row>
    <row r="65" spans="1:9" x14ac:dyDescent="0.25">
      <c r="A65" s="23" t="str">
        <f t="shared" si="0"/>
        <v>Please select an account</v>
      </c>
      <c r="B65" s="24" t="str">
        <f t="shared" si="1"/>
        <v>Please enter a date</v>
      </c>
      <c r="C65" s="11"/>
      <c r="D65" s="12"/>
      <c r="E65" s="6"/>
      <c r="F65" s="13"/>
      <c r="G65" s="9"/>
      <c r="H65" s="7"/>
      <c r="I65" s="7"/>
    </row>
    <row r="66" spans="1:9" x14ac:dyDescent="0.25">
      <c r="A66" s="23" t="str">
        <f t="shared" si="0"/>
        <v>Please select an account</v>
      </c>
      <c r="B66" s="24" t="str">
        <f t="shared" si="1"/>
        <v>Please enter a date</v>
      </c>
      <c r="C66" s="11"/>
      <c r="D66" s="12"/>
      <c r="E66" s="6"/>
      <c r="F66" s="13"/>
      <c r="G66" s="9"/>
      <c r="H66" s="7"/>
      <c r="I66" s="7"/>
    </row>
    <row r="67" spans="1:9" x14ac:dyDescent="0.25">
      <c r="A67" s="23" t="str">
        <f t="shared" si="0"/>
        <v>Please select an account</v>
      </c>
      <c r="B67" s="24" t="str">
        <f t="shared" si="1"/>
        <v>Please enter a date</v>
      </c>
      <c r="C67" s="11"/>
      <c r="D67" s="12"/>
      <c r="E67" s="6"/>
      <c r="F67" s="13"/>
      <c r="G67" s="9"/>
      <c r="H67" s="7"/>
      <c r="I67" s="7"/>
    </row>
    <row r="68" spans="1:9" x14ac:dyDescent="0.25">
      <c r="A68" s="23" t="str">
        <f t="shared" si="0"/>
        <v>Please select an account</v>
      </c>
      <c r="B68" s="24" t="str">
        <f t="shared" si="1"/>
        <v>Please enter a date</v>
      </c>
      <c r="C68" s="11"/>
      <c r="D68" s="12"/>
      <c r="E68" s="6"/>
      <c r="F68" s="13"/>
      <c r="G68" s="9"/>
      <c r="H68" s="7"/>
      <c r="I68" s="7"/>
    </row>
    <row r="69" spans="1:9" x14ac:dyDescent="0.25">
      <c r="A69" s="23" t="str">
        <f t="shared" si="0"/>
        <v>Please select an account</v>
      </c>
      <c r="B69" s="24" t="str">
        <f t="shared" si="1"/>
        <v>Please enter a date</v>
      </c>
      <c r="C69" s="11"/>
      <c r="D69" s="12"/>
      <c r="E69" s="6"/>
      <c r="F69" s="13"/>
      <c r="G69" s="9"/>
      <c r="H69" s="7"/>
      <c r="I69" s="7"/>
    </row>
    <row r="70" spans="1:9" x14ac:dyDescent="0.25">
      <c r="A70" s="23" t="str">
        <f t="shared" ref="A70:A133" si="2">IF($A$2=0,"Please select an account",$A$2)</f>
        <v>Please select an account</v>
      </c>
      <c r="B70" s="24" t="str">
        <f t="shared" ref="B70:B133" si="3">IF(TEXT($B$2,"YYYY-MM-DD")&lt;&gt;"1900-01-00",TEXT($B$2,"YYYY-MM-DD"),"Please enter a date")</f>
        <v>Please enter a date</v>
      </c>
      <c r="C70" s="11"/>
      <c r="D70" s="12"/>
      <c r="E70" s="6"/>
      <c r="F70" s="13"/>
      <c r="G70" s="9"/>
      <c r="H70" s="7"/>
      <c r="I70" s="7"/>
    </row>
    <row r="71" spans="1:9" x14ac:dyDescent="0.25">
      <c r="A71" s="23" t="str">
        <f t="shared" si="2"/>
        <v>Please select an account</v>
      </c>
      <c r="B71" s="24" t="str">
        <f t="shared" si="3"/>
        <v>Please enter a date</v>
      </c>
      <c r="C71" s="11"/>
      <c r="D71" s="12"/>
      <c r="E71" s="6"/>
      <c r="F71" s="13"/>
      <c r="G71" s="9"/>
      <c r="H71" s="7"/>
      <c r="I71" s="7"/>
    </row>
    <row r="72" spans="1:9" x14ac:dyDescent="0.25">
      <c r="A72" s="23" t="str">
        <f t="shared" si="2"/>
        <v>Please select an account</v>
      </c>
      <c r="B72" s="24" t="str">
        <f t="shared" si="3"/>
        <v>Please enter a date</v>
      </c>
      <c r="C72" s="11"/>
      <c r="D72" s="12"/>
      <c r="E72" s="6"/>
      <c r="F72" s="13"/>
      <c r="G72" s="9"/>
      <c r="H72" s="7"/>
      <c r="I72" s="7"/>
    </row>
    <row r="73" spans="1:9" x14ac:dyDescent="0.25">
      <c r="A73" s="23" t="str">
        <f t="shared" si="2"/>
        <v>Please select an account</v>
      </c>
      <c r="B73" s="24" t="str">
        <f t="shared" si="3"/>
        <v>Please enter a date</v>
      </c>
      <c r="C73" s="11"/>
      <c r="D73" s="12"/>
      <c r="E73" s="6"/>
      <c r="F73" s="13"/>
      <c r="G73" s="9"/>
      <c r="H73" s="7"/>
      <c r="I73" s="7"/>
    </row>
    <row r="74" spans="1:9" x14ac:dyDescent="0.25">
      <c r="A74" s="23" t="str">
        <f t="shared" si="2"/>
        <v>Please select an account</v>
      </c>
      <c r="B74" s="24" t="str">
        <f t="shared" si="3"/>
        <v>Please enter a date</v>
      </c>
      <c r="C74" s="11"/>
      <c r="D74" s="12"/>
      <c r="E74" s="6"/>
      <c r="F74" s="13"/>
      <c r="G74" s="9"/>
      <c r="H74" s="7"/>
      <c r="I74" s="7"/>
    </row>
    <row r="75" spans="1:9" x14ac:dyDescent="0.25">
      <c r="A75" s="23" t="str">
        <f t="shared" si="2"/>
        <v>Please select an account</v>
      </c>
      <c r="B75" s="24" t="str">
        <f t="shared" si="3"/>
        <v>Please enter a date</v>
      </c>
      <c r="C75" s="11"/>
      <c r="D75" s="12"/>
      <c r="E75" s="6"/>
      <c r="F75" s="13"/>
      <c r="G75" s="9"/>
      <c r="H75" s="7"/>
      <c r="I75" s="7"/>
    </row>
    <row r="76" spans="1:9" x14ac:dyDescent="0.25">
      <c r="A76" s="23" t="str">
        <f t="shared" si="2"/>
        <v>Please select an account</v>
      </c>
      <c r="B76" s="24" t="str">
        <f t="shared" si="3"/>
        <v>Please enter a date</v>
      </c>
      <c r="C76" s="11"/>
      <c r="D76" s="12"/>
      <c r="E76" s="6"/>
      <c r="F76" s="13"/>
      <c r="G76" s="9"/>
      <c r="H76" s="7"/>
      <c r="I76" s="7"/>
    </row>
    <row r="77" spans="1:9" x14ac:dyDescent="0.25">
      <c r="A77" s="23" t="str">
        <f t="shared" si="2"/>
        <v>Please select an account</v>
      </c>
      <c r="B77" s="24" t="str">
        <f t="shared" si="3"/>
        <v>Please enter a date</v>
      </c>
      <c r="C77" s="11"/>
      <c r="D77" s="12"/>
      <c r="E77" s="6"/>
      <c r="F77" s="13"/>
      <c r="G77" s="9"/>
      <c r="H77" s="7"/>
      <c r="I77" s="7"/>
    </row>
    <row r="78" spans="1:9" x14ac:dyDescent="0.25">
      <c r="A78" s="23" t="str">
        <f t="shared" si="2"/>
        <v>Please select an account</v>
      </c>
      <c r="B78" s="24" t="str">
        <f t="shared" si="3"/>
        <v>Please enter a date</v>
      </c>
      <c r="C78" s="11"/>
      <c r="D78" s="12"/>
      <c r="E78" s="6"/>
      <c r="F78" s="13"/>
      <c r="G78" s="9"/>
      <c r="H78" s="7"/>
      <c r="I78" s="7"/>
    </row>
    <row r="79" spans="1:9" x14ac:dyDescent="0.25">
      <c r="A79" s="23" t="str">
        <f t="shared" si="2"/>
        <v>Please select an account</v>
      </c>
      <c r="B79" s="24" t="str">
        <f t="shared" si="3"/>
        <v>Please enter a date</v>
      </c>
      <c r="C79" s="11"/>
      <c r="D79" s="12"/>
      <c r="E79" s="6"/>
      <c r="F79" s="13"/>
      <c r="G79" s="9"/>
      <c r="H79" s="7"/>
      <c r="I79" s="7"/>
    </row>
    <row r="80" spans="1:9" x14ac:dyDescent="0.25">
      <c r="A80" s="23" t="str">
        <f t="shared" si="2"/>
        <v>Please select an account</v>
      </c>
      <c r="B80" s="24" t="str">
        <f t="shared" si="3"/>
        <v>Please enter a date</v>
      </c>
      <c r="C80" s="11"/>
      <c r="D80" s="12"/>
      <c r="E80" s="6"/>
      <c r="F80" s="13"/>
      <c r="G80" s="9"/>
      <c r="H80" s="7"/>
      <c r="I80" s="7"/>
    </row>
    <row r="81" spans="1:9" x14ac:dyDescent="0.25">
      <c r="A81" s="23" t="str">
        <f t="shared" si="2"/>
        <v>Please select an account</v>
      </c>
      <c r="B81" s="24" t="str">
        <f t="shared" si="3"/>
        <v>Please enter a date</v>
      </c>
      <c r="C81" s="11"/>
      <c r="D81" s="12"/>
      <c r="E81" s="6"/>
      <c r="F81" s="13"/>
      <c r="G81" s="9"/>
      <c r="H81" s="7"/>
      <c r="I81" s="7"/>
    </row>
    <row r="82" spans="1:9" x14ac:dyDescent="0.25">
      <c r="A82" s="23" t="str">
        <f t="shared" si="2"/>
        <v>Please select an account</v>
      </c>
      <c r="B82" s="24" t="str">
        <f t="shared" si="3"/>
        <v>Please enter a date</v>
      </c>
      <c r="C82" s="11"/>
      <c r="D82" s="12"/>
      <c r="E82" s="6"/>
      <c r="F82" s="13"/>
      <c r="G82" s="9"/>
      <c r="H82" s="7"/>
      <c r="I82" s="7"/>
    </row>
    <row r="83" spans="1:9" x14ac:dyDescent="0.25">
      <c r="A83" s="23" t="str">
        <f t="shared" si="2"/>
        <v>Please select an account</v>
      </c>
      <c r="B83" s="24" t="str">
        <f t="shared" si="3"/>
        <v>Please enter a date</v>
      </c>
      <c r="C83" s="11"/>
      <c r="D83" s="12"/>
      <c r="E83" s="6"/>
      <c r="F83" s="13"/>
      <c r="G83" s="9"/>
      <c r="H83" s="7"/>
      <c r="I83" s="7"/>
    </row>
    <row r="84" spans="1:9" x14ac:dyDescent="0.25">
      <c r="A84" s="23" t="str">
        <f t="shared" si="2"/>
        <v>Please select an account</v>
      </c>
      <c r="B84" s="24" t="str">
        <f t="shared" si="3"/>
        <v>Please enter a date</v>
      </c>
      <c r="C84" s="11"/>
      <c r="D84" s="12"/>
      <c r="E84" s="6"/>
      <c r="F84" s="13"/>
      <c r="G84" s="9"/>
      <c r="H84" s="7"/>
      <c r="I84" s="7"/>
    </row>
    <row r="85" spans="1:9" x14ac:dyDescent="0.25">
      <c r="A85" s="23" t="str">
        <f t="shared" si="2"/>
        <v>Please select an account</v>
      </c>
      <c r="B85" s="24" t="str">
        <f t="shared" si="3"/>
        <v>Please enter a date</v>
      </c>
      <c r="C85" s="11"/>
      <c r="D85" s="12"/>
      <c r="E85" s="6"/>
      <c r="F85" s="13"/>
      <c r="G85" s="9"/>
      <c r="H85" s="7"/>
      <c r="I85" s="7"/>
    </row>
    <row r="86" spans="1:9" x14ac:dyDescent="0.25">
      <c r="A86" s="23" t="str">
        <f t="shared" si="2"/>
        <v>Please select an account</v>
      </c>
      <c r="B86" s="24" t="str">
        <f t="shared" si="3"/>
        <v>Please enter a date</v>
      </c>
      <c r="C86" s="11"/>
      <c r="D86" s="12"/>
      <c r="E86" s="6"/>
      <c r="F86" s="13"/>
      <c r="G86" s="9"/>
      <c r="H86" s="7"/>
      <c r="I86" s="7"/>
    </row>
    <row r="87" spans="1:9" x14ac:dyDescent="0.25">
      <c r="A87" s="23" t="str">
        <f t="shared" si="2"/>
        <v>Please select an account</v>
      </c>
      <c r="B87" s="24" t="str">
        <f t="shared" si="3"/>
        <v>Please enter a date</v>
      </c>
      <c r="C87" s="11"/>
      <c r="D87" s="12"/>
      <c r="E87" s="6"/>
      <c r="F87" s="13"/>
      <c r="G87" s="9"/>
      <c r="H87" s="7"/>
      <c r="I87" s="7"/>
    </row>
    <row r="88" spans="1:9" x14ac:dyDescent="0.25">
      <c r="A88" s="23" t="str">
        <f t="shared" si="2"/>
        <v>Please select an account</v>
      </c>
      <c r="B88" s="24" t="str">
        <f t="shared" si="3"/>
        <v>Please enter a date</v>
      </c>
      <c r="C88" s="11"/>
      <c r="D88" s="12"/>
      <c r="E88" s="6"/>
      <c r="F88" s="13"/>
      <c r="G88" s="9"/>
      <c r="H88" s="7"/>
      <c r="I88" s="7"/>
    </row>
    <row r="89" spans="1:9" x14ac:dyDescent="0.25">
      <c r="A89" s="23" t="str">
        <f t="shared" si="2"/>
        <v>Please select an account</v>
      </c>
      <c r="B89" s="24" t="str">
        <f t="shared" si="3"/>
        <v>Please enter a date</v>
      </c>
      <c r="C89" s="11"/>
      <c r="D89" s="12"/>
      <c r="E89" s="6"/>
      <c r="F89" s="13"/>
      <c r="G89" s="9"/>
      <c r="H89" s="7"/>
      <c r="I89" s="7"/>
    </row>
    <row r="90" spans="1:9" x14ac:dyDescent="0.25">
      <c r="A90" s="23" t="str">
        <f t="shared" si="2"/>
        <v>Please select an account</v>
      </c>
      <c r="B90" s="24" t="str">
        <f t="shared" si="3"/>
        <v>Please enter a date</v>
      </c>
      <c r="C90" s="11"/>
      <c r="D90" s="12"/>
      <c r="E90" s="6"/>
      <c r="F90" s="13"/>
      <c r="G90" s="9"/>
      <c r="H90" s="7"/>
      <c r="I90" s="7"/>
    </row>
    <row r="91" spans="1:9" x14ac:dyDescent="0.25">
      <c r="A91" s="23" t="str">
        <f t="shared" si="2"/>
        <v>Please select an account</v>
      </c>
      <c r="B91" s="24" t="str">
        <f t="shared" si="3"/>
        <v>Please enter a date</v>
      </c>
      <c r="C91" s="11"/>
      <c r="D91" s="12"/>
      <c r="E91" s="6"/>
      <c r="F91" s="13"/>
      <c r="G91" s="9"/>
      <c r="H91" s="7"/>
      <c r="I91" s="7"/>
    </row>
    <row r="92" spans="1:9" x14ac:dyDescent="0.25">
      <c r="A92" s="23" t="str">
        <f t="shared" si="2"/>
        <v>Please select an account</v>
      </c>
      <c r="B92" s="24" t="str">
        <f t="shared" si="3"/>
        <v>Please enter a date</v>
      </c>
      <c r="C92" s="11"/>
      <c r="D92" s="12"/>
      <c r="E92" s="6"/>
      <c r="F92" s="13"/>
      <c r="G92" s="9"/>
      <c r="H92" s="7"/>
      <c r="I92" s="7"/>
    </row>
    <row r="93" spans="1:9" x14ac:dyDescent="0.25">
      <c r="A93" s="23" t="str">
        <f t="shared" si="2"/>
        <v>Please select an account</v>
      </c>
      <c r="B93" s="24" t="str">
        <f t="shared" si="3"/>
        <v>Please enter a date</v>
      </c>
      <c r="C93" s="11"/>
      <c r="D93" s="12"/>
      <c r="E93" s="6"/>
      <c r="F93" s="13"/>
      <c r="G93" s="9"/>
      <c r="H93" s="7"/>
      <c r="I93" s="7"/>
    </row>
    <row r="94" spans="1:9" x14ac:dyDescent="0.25">
      <c r="A94" s="23" t="str">
        <f t="shared" si="2"/>
        <v>Please select an account</v>
      </c>
      <c r="B94" s="24" t="str">
        <f t="shared" si="3"/>
        <v>Please enter a date</v>
      </c>
      <c r="C94" s="11"/>
      <c r="D94" s="12"/>
      <c r="E94" s="6"/>
      <c r="F94" s="13"/>
      <c r="G94" s="9"/>
      <c r="H94" s="7"/>
      <c r="I94" s="7"/>
    </row>
    <row r="95" spans="1:9" x14ac:dyDescent="0.25">
      <c r="A95" s="23" t="str">
        <f t="shared" si="2"/>
        <v>Please select an account</v>
      </c>
      <c r="B95" s="24" t="str">
        <f t="shared" si="3"/>
        <v>Please enter a date</v>
      </c>
      <c r="C95" s="11"/>
      <c r="D95" s="12"/>
      <c r="E95" s="6"/>
      <c r="F95" s="13"/>
      <c r="G95" s="9"/>
      <c r="H95" s="7"/>
      <c r="I95" s="7"/>
    </row>
    <row r="96" spans="1:9" x14ac:dyDescent="0.25">
      <c r="A96" s="23" t="str">
        <f t="shared" si="2"/>
        <v>Please select an account</v>
      </c>
      <c r="B96" s="24" t="str">
        <f t="shared" si="3"/>
        <v>Please enter a date</v>
      </c>
      <c r="C96" s="11"/>
      <c r="D96" s="12"/>
      <c r="E96" s="6"/>
      <c r="F96" s="13"/>
      <c r="G96" s="9"/>
      <c r="H96" s="7"/>
      <c r="I96" s="7"/>
    </row>
    <row r="97" spans="1:9" x14ac:dyDescent="0.25">
      <c r="A97" s="23" t="str">
        <f t="shared" si="2"/>
        <v>Please select an account</v>
      </c>
      <c r="B97" s="24" t="str">
        <f t="shared" si="3"/>
        <v>Please enter a date</v>
      </c>
      <c r="C97" s="11"/>
      <c r="D97" s="12"/>
      <c r="E97" s="6"/>
      <c r="F97" s="13"/>
      <c r="G97" s="9"/>
      <c r="H97" s="7"/>
      <c r="I97" s="7"/>
    </row>
    <row r="98" spans="1:9" x14ac:dyDescent="0.25">
      <c r="A98" s="23" t="str">
        <f t="shared" si="2"/>
        <v>Please select an account</v>
      </c>
      <c r="B98" s="24" t="str">
        <f t="shared" si="3"/>
        <v>Please enter a date</v>
      </c>
      <c r="C98" s="11"/>
      <c r="D98" s="12"/>
      <c r="E98" s="6"/>
      <c r="F98" s="13"/>
      <c r="G98" s="9"/>
      <c r="H98" s="7"/>
      <c r="I98" s="7"/>
    </row>
    <row r="99" spans="1:9" x14ac:dyDescent="0.25">
      <c r="A99" s="23" t="str">
        <f t="shared" si="2"/>
        <v>Please select an account</v>
      </c>
      <c r="B99" s="24" t="str">
        <f t="shared" si="3"/>
        <v>Please enter a date</v>
      </c>
      <c r="C99" s="11"/>
      <c r="D99" s="12"/>
      <c r="E99" s="6"/>
      <c r="F99" s="13"/>
      <c r="G99" s="9"/>
      <c r="H99" s="7"/>
      <c r="I99" s="7"/>
    </row>
    <row r="100" spans="1:9" x14ac:dyDescent="0.25">
      <c r="A100" s="23" t="str">
        <f t="shared" si="2"/>
        <v>Please select an account</v>
      </c>
      <c r="B100" s="24" t="str">
        <f t="shared" si="3"/>
        <v>Please enter a date</v>
      </c>
      <c r="C100" s="11"/>
      <c r="D100" s="12"/>
      <c r="E100" s="6"/>
      <c r="F100" s="13"/>
      <c r="G100" s="9"/>
      <c r="H100" s="7"/>
      <c r="I100" s="7"/>
    </row>
    <row r="101" spans="1:9" x14ac:dyDescent="0.25">
      <c r="A101" s="23" t="str">
        <f t="shared" si="2"/>
        <v>Please select an account</v>
      </c>
      <c r="B101" s="24" t="str">
        <f t="shared" si="3"/>
        <v>Please enter a date</v>
      </c>
      <c r="C101" s="11"/>
      <c r="D101" s="12"/>
      <c r="E101" s="6"/>
      <c r="F101" s="13"/>
      <c r="G101" s="9"/>
      <c r="H101" s="7"/>
      <c r="I101" s="7"/>
    </row>
    <row r="102" spans="1:9" x14ac:dyDescent="0.25">
      <c r="A102" s="23" t="str">
        <f t="shared" si="2"/>
        <v>Please select an account</v>
      </c>
      <c r="B102" s="24" t="str">
        <f t="shared" si="3"/>
        <v>Please enter a date</v>
      </c>
      <c r="C102" s="11"/>
      <c r="D102" s="12"/>
      <c r="E102" s="6"/>
      <c r="F102" s="13"/>
      <c r="G102" s="9"/>
      <c r="H102" s="7"/>
      <c r="I102" s="7"/>
    </row>
    <row r="103" spans="1:9" x14ac:dyDescent="0.25">
      <c r="A103" s="23" t="str">
        <f t="shared" si="2"/>
        <v>Please select an account</v>
      </c>
      <c r="B103" s="24" t="str">
        <f t="shared" si="3"/>
        <v>Please enter a date</v>
      </c>
      <c r="C103" s="11"/>
      <c r="D103" s="12"/>
      <c r="E103" s="6"/>
      <c r="F103" s="13"/>
      <c r="G103" s="9"/>
      <c r="H103" s="7"/>
      <c r="I103" s="7"/>
    </row>
    <row r="104" spans="1:9" x14ac:dyDescent="0.25">
      <c r="A104" s="23" t="str">
        <f t="shared" si="2"/>
        <v>Please select an account</v>
      </c>
      <c r="B104" s="24" t="str">
        <f t="shared" si="3"/>
        <v>Please enter a date</v>
      </c>
      <c r="C104" s="11"/>
      <c r="D104" s="12"/>
      <c r="E104" s="6"/>
      <c r="F104" s="13"/>
      <c r="G104" s="9"/>
      <c r="H104" s="7"/>
      <c r="I104" s="7"/>
    </row>
    <row r="105" spans="1:9" x14ac:dyDescent="0.25">
      <c r="A105" s="23" t="str">
        <f t="shared" si="2"/>
        <v>Please select an account</v>
      </c>
      <c r="B105" s="24" t="str">
        <f t="shared" si="3"/>
        <v>Please enter a date</v>
      </c>
      <c r="C105" s="11"/>
      <c r="D105" s="12"/>
      <c r="E105" s="6"/>
      <c r="F105" s="13"/>
      <c r="G105" s="9"/>
      <c r="H105" s="7"/>
      <c r="I105" s="7"/>
    </row>
    <row r="106" spans="1:9" x14ac:dyDescent="0.25">
      <c r="A106" s="23" t="str">
        <f t="shared" si="2"/>
        <v>Please select an account</v>
      </c>
      <c r="B106" s="24" t="str">
        <f t="shared" si="3"/>
        <v>Please enter a date</v>
      </c>
      <c r="C106" s="11"/>
      <c r="D106" s="12"/>
      <c r="E106" s="6"/>
      <c r="F106" s="13"/>
      <c r="G106" s="9"/>
      <c r="H106" s="7"/>
      <c r="I106" s="7"/>
    </row>
    <row r="107" spans="1:9" x14ac:dyDescent="0.25">
      <c r="A107" s="23" t="str">
        <f t="shared" si="2"/>
        <v>Please select an account</v>
      </c>
      <c r="B107" s="24" t="str">
        <f t="shared" si="3"/>
        <v>Please enter a date</v>
      </c>
      <c r="C107" s="11"/>
      <c r="D107" s="12"/>
      <c r="E107" s="6"/>
      <c r="F107" s="13"/>
      <c r="G107" s="9"/>
      <c r="H107" s="7"/>
      <c r="I107" s="7"/>
    </row>
    <row r="108" spans="1:9" x14ac:dyDescent="0.25">
      <c r="A108" s="23" t="str">
        <f t="shared" si="2"/>
        <v>Please select an account</v>
      </c>
      <c r="B108" s="24" t="str">
        <f t="shared" si="3"/>
        <v>Please enter a date</v>
      </c>
      <c r="C108" s="11"/>
      <c r="D108" s="12"/>
      <c r="E108" s="6"/>
      <c r="F108" s="13"/>
      <c r="G108" s="9"/>
      <c r="H108" s="7"/>
      <c r="I108" s="7"/>
    </row>
    <row r="109" spans="1:9" x14ac:dyDescent="0.25">
      <c r="A109" s="23" t="str">
        <f t="shared" si="2"/>
        <v>Please select an account</v>
      </c>
      <c r="B109" s="24" t="str">
        <f t="shared" si="3"/>
        <v>Please enter a date</v>
      </c>
      <c r="C109" s="11"/>
      <c r="D109" s="12"/>
      <c r="E109" s="6"/>
      <c r="F109" s="13"/>
      <c r="G109" s="9"/>
      <c r="H109" s="7"/>
      <c r="I109" s="7"/>
    </row>
    <row r="110" spans="1:9" x14ac:dyDescent="0.25">
      <c r="A110" s="23" t="str">
        <f t="shared" si="2"/>
        <v>Please select an account</v>
      </c>
      <c r="B110" s="24" t="str">
        <f t="shared" si="3"/>
        <v>Please enter a date</v>
      </c>
      <c r="C110" s="11"/>
      <c r="D110" s="12"/>
      <c r="E110" s="6"/>
      <c r="F110" s="13"/>
      <c r="G110" s="9"/>
      <c r="H110" s="7"/>
      <c r="I110" s="7"/>
    </row>
    <row r="111" spans="1:9" x14ac:dyDescent="0.25">
      <c r="A111" s="23" t="str">
        <f t="shared" si="2"/>
        <v>Please select an account</v>
      </c>
      <c r="B111" s="24" t="str">
        <f t="shared" si="3"/>
        <v>Please enter a date</v>
      </c>
      <c r="C111" s="11"/>
      <c r="D111" s="12"/>
      <c r="E111" s="6"/>
      <c r="F111" s="13"/>
      <c r="G111" s="9"/>
      <c r="H111" s="7"/>
      <c r="I111" s="7"/>
    </row>
    <row r="112" spans="1:9" x14ac:dyDescent="0.25">
      <c r="A112" s="23" t="str">
        <f t="shared" si="2"/>
        <v>Please select an account</v>
      </c>
      <c r="B112" s="24" t="str">
        <f t="shared" si="3"/>
        <v>Please enter a date</v>
      </c>
      <c r="C112" s="11"/>
      <c r="D112" s="12"/>
      <c r="E112" s="6"/>
      <c r="F112" s="13"/>
      <c r="G112" s="9"/>
      <c r="H112" s="7"/>
      <c r="I112" s="7"/>
    </row>
    <row r="113" spans="1:9" x14ac:dyDescent="0.25">
      <c r="A113" s="23" t="str">
        <f t="shared" si="2"/>
        <v>Please select an account</v>
      </c>
      <c r="B113" s="24" t="str">
        <f t="shared" si="3"/>
        <v>Please enter a date</v>
      </c>
      <c r="C113" s="11"/>
      <c r="D113" s="12"/>
      <c r="E113" s="6"/>
      <c r="F113" s="13"/>
      <c r="G113" s="9"/>
      <c r="H113" s="7"/>
      <c r="I113" s="7"/>
    </row>
    <row r="114" spans="1:9" x14ac:dyDescent="0.25">
      <c r="A114" s="23" t="str">
        <f t="shared" si="2"/>
        <v>Please select an account</v>
      </c>
      <c r="B114" s="24" t="str">
        <f t="shared" si="3"/>
        <v>Please enter a date</v>
      </c>
      <c r="C114" s="11"/>
      <c r="D114" s="12"/>
      <c r="E114" s="6"/>
      <c r="F114" s="13"/>
      <c r="G114" s="9"/>
      <c r="H114" s="7"/>
      <c r="I114" s="7"/>
    </row>
    <row r="115" spans="1:9" x14ac:dyDescent="0.25">
      <c r="A115" s="23" t="str">
        <f t="shared" si="2"/>
        <v>Please select an account</v>
      </c>
      <c r="B115" s="24" t="str">
        <f t="shared" si="3"/>
        <v>Please enter a date</v>
      </c>
      <c r="C115" s="11"/>
      <c r="D115" s="12"/>
      <c r="E115" s="6"/>
      <c r="F115" s="13"/>
      <c r="G115" s="9"/>
      <c r="H115" s="7"/>
      <c r="I115" s="7"/>
    </row>
    <row r="116" spans="1:9" x14ac:dyDescent="0.25">
      <c r="A116" s="23" t="str">
        <f t="shared" si="2"/>
        <v>Please select an account</v>
      </c>
      <c r="B116" s="24" t="str">
        <f t="shared" si="3"/>
        <v>Please enter a date</v>
      </c>
      <c r="C116" s="11"/>
      <c r="D116" s="12"/>
      <c r="E116" s="6"/>
      <c r="F116" s="13"/>
      <c r="G116" s="9"/>
      <c r="H116" s="7"/>
      <c r="I116" s="7"/>
    </row>
    <row r="117" spans="1:9" x14ac:dyDescent="0.25">
      <c r="A117" s="23" t="str">
        <f t="shared" si="2"/>
        <v>Please select an account</v>
      </c>
      <c r="B117" s="24" t="str">
        <f t="shared" si="3"/>
        <v>Please enter a date</v>
      </c>
      <c r="C117" s="11"/>
      <c r="D117" s="12"/>
      <c r="E117" s="6"/>
      <c r="F117" s="13"/>
      <c r="G117" s="9"/>
      <c r="H117" s="7"/>
      <c r="I117" s="7"/>
    </row>
    <row r="118" spans="1:9" x14ac:dyDescent="0.25">
      <c r="A118" s="23" t="str">
        <f t="shared" si="2"/>
        <v>Please select an account</v>
      </c>
      <c r="B118" s="24" t="str">
        <f t="shared" si="3"/>
        <v>Please enter a date</v>
      </c>
      <c r="C118" s="11"/>
      <c r="D118" s="12"/>
      <c r="E118" s="6"/>
      <c r="F118" s="13"/>
      <c r="G118" s="9"/>
      <c r="H118" s="7"/>
      <c r="I118" s="7"/>
    </row>
    <row r="119" spans="1:9" x14ac:dyDescent="0.25">
      <c r="A119" s="23" t="str">
        <f t="shared" si="2"/>
        <v>Please select an account</v>
      </c>
      <c r="B119" s="24" t="str">
        <f t="shared" si="3"/>
        <v>Please enter a date</v>
      </c>
      <c r="C119" s="11"/>
      <c r="D119" s="12"/>
      <c r="E119" s="6"/>
      <c r="F119" s="13"/>
      <c r="G119" s="9"/>
      <c r="H119" s="7"/>
      <c r="I119" s="7"/>
    </row>
    <row r="120" spans="1:9" x14ac:dyDescent="0.25">
      <c r="A120" s="23" t="str">
        <f t="shared" si="2"/>
        <v>Please select an account</v>
      </c>
      <c r="B120" s="24" t="str">
        <f t="shared" si="3"/>
        <v>Please enter a date</v>
      </c>
      <c r="C120" s="11"/>
      <c r="D120" s="12"/>
      <c r="E120" s="6"/>
      <c r="F120" s="13"/>
      <c r="G120" s="9"/>
      <c r="H120" s="7"/>
      <c r="I120" s="7"/>
    </row>
    <row r="121" spans="1:9" x14ac:dyDescent="0.25">
      <c r="A121" s="23" t="str">
        <f t="shared" si="2"/>
        <v>Please select an account</v>
      </c>
      <c r="B121" s="24" t="str">
        <f t="shared" si="3"/>
        <v>Please enter a date</v>
      </c>
      <c r="C121" s="11"/>
      <c r="D121" s="12"/>
      <c r="E121" s="6"/>
      <c r="F121" s="13"/>
      <c r="G121" s="9"/>
      <c r="H121" s="7"/>
      <c r="I121" s="7"/>
    </row>
    <row r="122" spans="1:9" x14ac:dyDescent="0.25">
      <c r="A122" s="23" t="str">
        <f t="shared" si="2"/>
        <v>Please select an account</v>
      </c>
      <c r="B122" s="24" t="str">
        <f t="shared" si="3"/>
        <v>Please enter a date</v>
      </c>
      <c r="C122" s="11"/>
      <c r="D122" s="12"/>
      <c r="E122" s="6"/>
      <c r="F122" s="13"/>
      <c r="G122" s="9"/>
      <c r="H122" s="7"/>
      <c r="I122" s="7"/>
    </row>
    <row r="123" spans="1:9" x14ac:dyDescent="0.25">
      <c r="A123" s="23" t="str">
        <f t="shared" si="2"/>
        <v>Please select an account</v>
      </c>
      <c r="B123" s="24" t="str">
        <f t="shared" si="3"/>
        <v>Please enter a date</v>
      </c>
      <c r="C123" s="11"/>
      <c r="D123" s="12"/>
      <c r="E123" s="6"/>
      <c r="F123" s="13"/>
      <c r="G123" s="9"/>
      <c r="H123" s="7"/>
      <c r="I123" s="7"/>
    </row>
    <row r="124" spans="1:9" x14ac:dyDescent="0.25">
      <c r="A124" s="23" t="str">
        <f t="shared" si="2"/>
        <v>Please select an account</v>
      </c>
      <c r="B124" s="24" t="str">
        <f t="shared" si="3"/>
        <v>Please enter a date</v>
      </c>
      <c r="C124" s="11"/>
      <c r="D124" s="12"/>
      <c r="E124" s="6"/>
      <c r="F124" s="13"/>
      <c r="G124" s="9"/>
      <c r="H124" s="7"/>
      <c r="I124" s="7"/>
    </row>
    <row r="125" spans="1:9" x14ac:dyDescent="0.25">
      <c r="A125" s="23" t="str">
        <f t="shared" si="2"/>
        <v>Please select an account</v>
      </c>
      <c r="B125" s="24" t="str">
        <f t="shared" si="3"/>
        <v>Please enter a date</v>
      </c>
      <c r="C125" s="11"/>
      <c r="D125" s="12"/>
      <c r="E125" s="6"/>
      <c r="F125" s="13"/>
      <c r="G125" s="9"/>
      <c r="H125" s="7"/>
      <c r="I125" s="7"/>
    </row>
    <row r="126" spans="1:9" x14ac:dyDescent="0.25">
      <c r="A126" s="23" t="str">
        <f t="shared" si="2"/>
        <v>Please select an account</v>
      </c>
      <c r="B126" s="24" t="str">
        <f t="shared" si="3"/>
        <v>Please enter a date</v>
      </c>
      <c r="C126" s="11"/>
      <c r="D126" s="12"/>
      <c r="E126" s="6"/>
      <c r="F126" s="13"/>
      <c r="G126" s="9"/>
      <c r="H126" s="7"/>
      <c r="I126" s="7"/>
    </row>
    <row r="127" spans="1:9" x14ac:dyDescent="0.25">
      <c r="A127" s="23" t="str">
        <f t="shared" si="2"/>
        <v>Please select an account</v>
      </c>
      <c r="B127" s="24" t="str">
        <f t="shared" si="3"/>
        <v>Please enter a date</v>
      </c>
      <c r="C127" s="11"/>
      <c r="D127" s="12"/>
      <c r="E127" s="6"/>
      <c r="F127" s="13"/>
      <c r="G127" s="9"/>
      <c r="H127" s="7"/>
      <c r="I127" s="7"/>
    </row>
    <row r="128" spans="1:9" x14ac:dyDescent="0.25">
      <c r="A128" s="23" t="str">
        <f t="shared" si="2"/>
        <v>Please select an account</v>
      </c>
      <c r="B128" s="24" t="str">
        <f t="shared" si="3"/>
        <v>Please enter a date</v>
      </c>
      <c r="C128" s="11"/>
      <c r="D128" s="12"/>
      <c r="E128" s="6"/>
      <c r="F128" s="13"/>
      <c r="G128" s="9"/>
      <c r="H128" s="7"/>
      <c r="I128" s="7"/>
    </row>
    <row r="129" spans="1:9" x14ac:dyDescent="0.25">
      <c r="A129" s="23" t="str">
        <f t="shared" si="2"/>
        <v>Please select an account</v>
      </c>
      <c r="B129" s="24" t="str">
        <f t="shared" si="3"/>
        <v>Please enter a date</v>
      </c>
      <c r="C129" s="11"/>
      <c r="D129" s="12"/>
      <c r="E129" s="6"/>
      <c r="F129" s="13"/>
      <c r="G129" s="9"/>
      <c r="H129" s="7"/>
      <c r="I129" s="7"/>
    </row>
    <row r="130" spans="1:9" x14ac:dyDescent="0.25">
      <c r="A130" s="23" t="str">
        <f t="shared" si="2"/>
        <v>Please select an account</v>
      </c>
      <c r="B130" s="24" t="str">
        <f t="shared" si="3"/>
        <v>Please enter a date</v>
      </c>
      <c r="C130" s="11"/>
      <c r="D130" s="12"/>
      <c r="E130" s="6"/>
      <c r="F130" s="13"/>
      <c r="G130" s="9"/>
      <c r="H130" s="7"/>
      <c r="I130" s="7"/>
    </row>
    <row r="131" spans="1:9" x14ac:dyDescent="0.25">
      <c r="A131" s="23" t="str">
        <f t="shared" si="2"/>
        <v>Please select an account</v>
      </c>
      <c r="B131" s="24" t="str">
        <f t="shared" si="3"/>
        <v>Please enter a date</v>
      </c>
      <c r="C131" s="11"/>
      <c r="D131" s="12"/>
      <c r="E131" s="6"/>
      <c r="F131" s="13"/>
      <c r="G131" s="9"/>
      <c r="H131" s="7"/>
      <c r="I131" s="7"/>
    </row>
    <row r="132" spans="1:9" x14ac:dyDescent="0.25">
      <c r="A132" s="23" t="str">
        <f t="shared" si="2"/>
        <v>Please select an account</v>
      </c>
      <c r="B132" s="24" t="str">
        <f t="shared" si="3"/>
        <v>Please enter a date</v>
      </c>
      <c r="C132" s="11"/>
      <c r="D132" s="12"/>
      <c r="E132" s="6"/>
      <c r="F132" s="13"/>
      <c r="G132" s="9"/>
      <c r="H132" s="7"/>
      <c r="I132" s="7"/>
    </row>
    <row r="133" spans="1:9" x14ac:dyDescent="0.25">
      <c r="A133" s="23" t="str">
        <f t="shared" si="2"/>
        <v>Please select an account</v>
      </c>
      <c r="B133" s="24" t="str">
        <f t="shared" si="3"/>
        <v>Please enter a date</v>
      </c>
      <c r="C133" s="11"/>
      <c r="D133" s="12"/>
      <c r="E133" s="6"/>
      <c r="F133" s="13"/>
      <c r="G133" s="9"/>
      <c r="H133" s="7"/>
      <c r="I133" s="7"/>
    </row>
    <row r="134" spans="1:9" x14ac:dyDescent="0.25">
      <c r="A134" s="23" t="str">
        <f t="shared" ref="A134:A197" si="4">IF($A$2=0,"Please select an account",$A$2)</f>
        <v>Please select an account</v>
      </c>
      <c r="B134" s="24" t="str">
        <f t="shared" ref="B134:B197" si="5">IF(TEXT($B$2,"YYYY-MM-DD")&lt;&gt;"1900-01-00",TEXT($B$2,"YYYY-MM-DD"),"Please enter a date")</f>
        <v>Please enter a date</v>
      </c>
      <c r="C134" s="11"/>
      <c r="D134" s="12"/>
      <c r="E134" s="6"/>
      <c r="F134" s="13"/>
      <c r="G134" s="9"/>
      <c r="H134" s="7"/>
      <c r="I134" s="7"/>
    </row>
    <row r="135" spans="1:9" x14ac:dyDescent="0.25">
      <c r="A135" s="23" t="str">
        <f t="shared" si="4"/>
        <v>Please select an account</v>
      </c>
      <c r="B135" s="24" t="str">
        <f t="shared" si="5"/>
        <v>Please enter a date</v>
      </c>
      <c r="C135" s="11"/>
      <c r="D135" s="12"/>
      <c r="E135" s="6"/>
      <c r="F135" s="13"/>
      <c r="G135" s="9"/>
      <c r="H135" s="7"/>
      <c r="I135" s="7"/>
    </row>
    <row r="136" spans="1:9" x14ac:dyDescent="0.25">
      <c r="A136" s="23" t="str">
        <f t="shared" si="4"/>
        <v>Please select an account</v>
      </c>
      <c r="B136" s="24" t="str">
        <f t="shared" si="5"/>
        <v>Please enter a date</v>
      </c>
      <c r="C136" s="11"/>
      <c r="D136" s="12"/>
      <c r="E136" s="6"/>
      <c r="F136" s="13"/>
      <c r="G136" s="9"/>
      <c r="H136" s="7"/>
      <c r="I136" s="7"/>
    </row>
    <row r="137" spans="1:9" x14ac:dyDescent="0.25">
      <c r="A137" s="23" t="str">
        <f t="shared" si="4"/>
        <v>Please select an account</v>
      </c>
      <c r="B137" s="24" t="str">
        <f t="shared" si="5"/>
        <v>Please enter a date</v>
      </c>
      <c r="C137" s="11"/>
      <c r="D137" s="12"/>
      <c r="E137" s="6"/>
      <c r="F137" s="13"/>
      <c r="G137" s="9"/>
      <c r="H137" s="7"/>
      <c r="I137" s="7"/>
    </row>
    <row r="138" spans="1:9" x14ac:dyDescent="0.25">
      <c r="A138" s="23" t="str">
        <f t="shared" si="4"/>
        <v>Please select an account</v>
      </c>
      <c r="B138" s="24" t="str">
        <f t="shared" si="5"/>
        <v>Please enter a date</v>
      </c>
      <c r="C138" s="11"/>
      <c r="D138" s="12"/>
      <c r="E138" s="6"/>
      <c r="F138" s="13"/>
      <c r="G138" s="9"/>
      <c r="H138" s="7"/>
      <c r="I138" s="7"/>
    </row>
    <row r="139" spans="1:9" x14ac:dyDescent="0.25">
      <c r="A139" s="23" t="str">
        <f t="shared" si="4"/>
        <v>Please select an account</v>
      </c>
      <c r="B139" s="24" t="str">
        <f t="shared" si="5"/>
        <v>Please enter a date</v>
      </c>
      <c r="C139" s="11"/>
      <c r="D139" s="12"/>
      <c r="E139" s="6"/>
      <c r="F139" s="13"/>
      <c r="G139" s="9"/>
      <c r="H139" s="7"/>
      <c r="I139" s="7"/>
    </row>
    <row r="140" spans="1:9" x14ac:dyDescent="0.25">
      <c r="A140" s="23" t="str">
        <f t="shared" si="4"/>
        <v>Please select an account</v>
      </c>
      <c r="B140" s="24" t="str">
        <f t="shared" si="5"/>
        <v>Please enter a date</v>
      </c>
      <c r="C140" s="11"/>
      <c r="D140" s="12"/>
      <c r="E140" s="6"/>
      <c r="F140" s="13"/>
      <c r="G140" s="9"/>
      <c r="H140" s="7"/>
      <c r="I140" s="7"/>
    </row>
    <row r="141" spans="1:9" x14ac:dyDescent="0.25">
      <c r="A141" s="23" t="str">
        <f t="shared" si="4"/>
        <v>Please select an account</v>
      </c>
      <c r="B141" s="24" t="str">
        <f t="shared" si="5"/>
        <v>Please enter a date</v>
      </c>
      <c r="C141" s="11"/>
      <c r="D141" s="12"/>
      <c r="E141" s="6"/>
      <c r="F141" s="13"/>
      <c r="G141" s="9"/>
      <c r="H141" s="7"/>
      <c r="I141" s="7"/>
    </row>
    <row r="142" spans="1:9" x14ac:dyDescent="0.25">
      <c r="A142" s="23" t="str">
        <f t="shared" si="4"/>
        <v>Please select an account</v>
      </c>
      <c r="B142" s="24" t="str">
        <f t="shared" si="5"/>
        <v>Please enter a date</v>
      </c>
      <c r="C142" s="11"/>
      <c r="D142" s="12"/>
      <c r="E142" s="6"/>
      <c r="F142" s="13"/>
      <c r="G142" s="9"/>
      <c r="H142" s="7"/>
      <c r="I142" s="7"/>
    </row>
    <row r="143" spans="1:9" x14ac:dyDescent="0.25">
      <c r="A143" s="23" t="str">
        <f t="shared" si="4"/>
        <v>Please select an account</v>
      </c>
      <c r="B143" s="24" t="str">
        <f t="shared" si="5"/>
        <v>Please enter a date</v>
      </c>
      <c r="C143" s="11"/>
      <c r="D143" s="12"/>
      <c r="E143" s="6"/>
      <c r="F143" s="13"/>
      <c r="G143" s="9"/>
      <c r="H143" s="7"/>
      <c r="I143" s="7"/>
    </row>
    <row r="144" spans="1:9" x14ac:dyDescent="0.25">
      <c r="A144" s="23" t="str">
        <f t="shared" si="4"/>
        <v>Please select an account</v>
      </c>
      <c r="B144" s="24" t="str">
        <f t="shared" si="5"/>
        <v>Please enter a date</v>
      </c>
      <c r="C144" s="11"/>
      <c r="D144" s="12"/>
      <c r="E144" s="6"/>
      <c r="F144" s="13"/>
      <c r="G144" s="9"/>
      <c r="H144" s="7"/>
      <c r="I144" s="7"/>
    </row>
    <row r="145" spans="1:9" x14ac:dyDescent="0.25">
      <c r="A145" s="23" t="str">
        <f t="shared" si="4"/>
        <v>Please select an account</v>
      </c>
      <c r="B145" s="24" t="str">
        <f t="shared" si="5"/>
        <v>Please enter a date</v>
      </c>
      <c r="C145" s="11"/>
      <c r="D145" s="12"/>
      <c r="E145" s="6"/>
      <c r="F145" s="13"/>
      <c r="G145" s="9"/>
      <c r="H145" s="7"/>
      <c r="I145" s="7"/>
    </row>
    <row r="146" spans="1:9" x14ac:dyDescent="0.25">
      <c r="A146" s="23" t="str">
        <f t="shared" si="4"/>
        <v>Please select an account</v>
      </c>
      <c r="B146" s="24" t="str">
        <f t="shared" si="5"/>
        <v>Please enter a date</v>
      </c>
      <c r="C146" s="11"/>
      <c r="D146" s="12"/>
      <c r="E146" s="6"/>
      <c r="F146" s="13"/>
      <c r="G146" s="9"/>
      <c r="H146" s="7"/>
      <c r="I146" s="7"/>
    </row>
    <row r="147" spans="1:9" x14ac:dyDescent="0.25">
      <c r="A147" s="23" t="str">
        <f t="shared" si="4"/>
        <v>Please select an account</v>
      </c>
      <c r="B147" s="24" t="str">
        <f t="shared" si="5"/>
        <v>Please enter a date</v>
      </c>
      <c r="C147" s="11"/>
      <c r="D147" s="12"/>
      <c r="E147" s="6"/>
      <c r="F147" s="13"/>
      <c r="G147" s="9"/>
      <c r="H147" s="7"/>
      <c r="I147" s="7"/>
    </row>
    <row r="148" spans="1:9" x14ac:dyDescent="0.25">
      <c r="A148" s="23" t="str">
        <f t="shared" si="4"/>
        <v>Please select an account</v>
      </c>
      <c r="B148" s="24" t="str">
        <f t="shared" si="5"/>
        <v>Please enter a date</v>
      </c>
      <c r="C148" s="11"/>
      <c r="D148" s="12"/>
      <c r="E148" s="6"/>
      <c r="F148" s="13"/>
      <c r="G148" s="9"/>
      <c r="H148" s="7"/>
      <c r="I148" s="7"/>
    </row>
    <row r="149" spans="1:9" x14ac:dyDescent="0.25">
      <c r="A149" s="23" t="str">
        <f t="shared" si="4"/>
        <v>Please select an account</v>
      </c>
      <c r="B149" s="24" t="str">
        <f t="shared" si="5"/>
        <v>Please enter a date</v>
      </c>
      <c r="C149" s="11"/>
      <c r="D149" s="12"/>
      <c r="E149" s="6"/>
      <c r="F149" s="13"/>
      <c r="G149" s="9"/>
      <c r="H149" s="7"/>
      <c r="I149" s="7"/>
    </row>
    <row r="150" spans="1:9" x14ac:dyDescent="0.25">
      <c r="A150" s="23" t="str">
        <f t="shared" si="4"/>
        <v>Please select an account</v>
      </c>
      <c r="B150" s="24" t="str">
        <f t="shared" si="5"/>
        <v>Please enter a date</v>
      </c>
      <c r="C150" s="11"/>
      <c r="D150" s="12"/>
      <c r="E150" s="6"/>
      <c r="F150" s="13"/>
      <c r="G150" s="9"/>
      <c r="H150" s="7"/>
      <c r="I150" s="7"/>
    </row>
    <row r="151" spans="1:9" x14ac:dyDescent="0.25">
      <c r="A151" s="23" t="str">
        <f t="shared" si="4"/>
        <v>Please select an account</v>
      </c>
      <c r="B151" s="24" t="str">
        <f t="shared" si="5"/>
        <v>Please enter a date</v>
      </c>
      <c r="C151" s="11"/>
      <c r="D151" s="12"/>
      <c r="E151" s="6"/>
      <c r="F151" s="13"/>
      <c r="G151" s="9"/>
      <c r="H151" s="7"/>
      <c r="I151" s="7"/>
    </row>
    <row r="152" spans="1:9" x14ac:dyDescent="0.25">
      <c r="A152" s="23" t="str">
        <f t="shared" si="4"/>
        <v>Please select an account</v>
      </c>
      <c r="B152" s="24" t="str">
        <f t="shared" si="5"/>
        <v>Please enter a date</v>
      </c>
      <c r="C152" s="11"/>
      <c r="D152" s="12"/>
      <c r="E152" s="6"/>
      <c r="F152" s="13"/>
      <c r="G152" s="9"/>
      <c r="H152" s="7"/>
      <c r="I152" s="7"/>
    </row>
    <row r="153" spans="1:9" x14ac:dyDescent="0.25">
      <c r="A153" s="23" t="str">
        <f t="shared" si="4"/>
        <v>Please select an account</v>
      </c>
      <c r="B153" s="24" t="str">
        <f t="shared" si="5"/>
        <v>Please enter a date</v>
      </c>
      <c r="C153" s="11"/>
      <c r="D153" s="12"/>
      <c r="E153" s="6"/>
      <c r="F153" s="13"/>
      <c r="G153" s="9"/>
      <c r="H153" s="7"/>
      <c r="I153" s="7"/>
    </row>
    <row r="154" spans="1:9" x14ac:dyDescent="0.25">
      <c r="A154" s="23" t="str">
        <f t="shared" si="4"/>
        <v>Please select an account</v>
      </c>
      <c r="B154" s="24" t="str">
        <f t="shared" si="5"/>
        <v>Please enter a date</v>
      </c>
      <c r="C154" s="11"/>
      <c r="D154" s="12"/>
      <c r="E154" s="6"/>
      <c r="F154" s="13"/>
      <c r="G154" s="9"/>
      <c r="H154" s="7"/>
      <c r="I154" s="7"/>
    </row>
    <row r="155" spans="1:9" x14ac:dyDescent="0.25">
      <c r="A155" s="23" t="str">
        <f t="shared" si="4"/>
        <v>Please select an account</v>
      </c>
      <c r="B155" s="24" t="str">
        <f t="shared" si="5"/>
        <v>Please enter a date</v>
      </c>
      <c r="C155" s="11"/>
      <c r="D155" s="12"/>
      <c r="E155" s="6"/>
      <c r="F155" s="13"/>
      <c r="G155" s="9"/>
      <c r="H155" s="7"/>
      <c r="I155" s="7"/>
    </row>
    <row r="156" spans="1:9" x14ac:dyDescent="0.25">
      <c r="A156" s="23" t="str">
        <f t="shared" si="4"/>
        <v>Please select an account</v>
      </c>
      <c r="B156" s="24" t="str">
        <f t="shared" si="5"/>
        <v>Please enter a date</v>
      </c>
      <c r="C156" s="11"/>
      <c r="D156" s="12"/>
      <c r="E156" s="6"/>
      <c r="F156" s="13"/>
      <c r="G156" s="9"/>
      <c r="H156" s="7"/>
      <c r="I156" s="7"/>
    </row>
    <row r="157" spans="1:9" x14ac:dyDescent="0.25">
      <c r="A157" s="23" t="str">
        <f t="shared" si="4"/>
        <v>Please select an account</v>
      </c>
      <c r="B157" s="24" t="str">
        <f t="shared" si="5"/>
        <v>Please enter a date</v>
      </c>
      <c r="C157" s="11"/>
      <c r="D157" s="12"/>
      <c r="E157" s="6"/>
      <c r="F157" s="13"/>
      <c r="G157" s="9"/>
      <c r="H157" s="7"/>
      <c r="I157" s="7"/>
    </row>
    <row r="158" spans="1:9" x14ac:dyDescent="0.25">
      <c r="A158" s="23" t="str">
        <f t="shared" si="4"/>
        <v>Please select an account</v>
      </c>
      <c r="B158" s="24" t="str">
        <f t="shared" si="5"/>
        <v>Please enter a date</v>
      </c>
      <c r="C158" s="11"/>
      <c r="D158" s="12"/>
      <c r="E158" s="6"/>
      <c r="F158" s="13"/>
      <c r="G158" s="9"/>
      <c r="H158" s="7"/>
      <c r="I158" s="7"/>
    </row>
    <row r="159" spans="1:9" x14ac:dyDescent="0.25">
      <c r="A159" s="23" t="str">
        <f t="shared" si="4"/>
        <v>Please select an account</v>
      </c>
      <c r="B159" s="24" t="str">
        <f t="shared" si="5"/>
        <v>Please enter a date</v>
      </c>
      <c r="C159" s="11"/>
      <c r="D159" s="12"/>
      <c r="E159" s="6"/>
      <c r="F159" s="13"/>
      <c r="G159" s="9"/>
      <c r="H159" s="7"/>
      <c r="I159" s="7"/>
    </row>
    <row r="160" spans="1:9" x14ac:dyDescent="0.25">
      <c r="A160" s="23" t="str">
        <f t="shared" si="4"/>
        <v>Please select an account</v>
      </c>
      <c r="B160" s="24" t="str">
        <f t="shared" si="5"/>
        <v>Please enter a date</v>
      </c>
      <c r="C160" s="11"/>
      <c r="D160" s="12"/>
      <c r="E160" s="6"/>
      <c r="F160" s="13"/>
      <c r="G160" s="9"/>
      <c r="H160" s="7"/>
      <c r="I160" s="7"/>
    </row>
    <row r="161" spans="1:9" x14ac:dyDescent="0.25">
      <c r="A161" s="23" t="str">
        <f t="shared" si="4"/>
        <v>Please select an account</v>
      </c>
      <c r="B161" s="24" t="str">
        <f t="shared" si="5"/>
        <v>Please enter a date</v>
      </c>
      <c r="C161" s="11"/>
      <c r="D161" s="12"/>
      <c r="E161" s="6"/>
      <c r="F161" s="13"/>
      <c r="G161" s="9"/>
      <c r="H161" s="7"/>
      <c r="I161" s="7"/>
    </row>
    <row r="162" spans="1:9" x14ac:dyDescent="0.25">
      <c r="A162" s="23" t="str">
        <f t="shared" si="4"/>
        <v>Please select an account</v>
      </c>
      <c r="B162" s="24" t="str">
        <f t="shared" si="5"/>
        <v>Please enter a date</v>
      </c>
      <c r="C162" s="11"/>
      <c r="D162" s="12"/>
      <c r="E162" s="6"/>
      <c r="F162" s="13"/>
      <c r="G162" s="9"/>
      <c r="H162" s="7"/>
      <c r="I162" s="7"/>
    </row>
    <row r="163" spans="1:9" x14ac:dyDescent="0.25">
      <c r="A163" s="23" t="str">
        <f t="shared" si="4"/>
        <v>Please select an account</v>
      </c>
      <c r="B163" s="24" t="str">
        <f t="shared" si="5"/>
        <v>Please enter a date</v>
      </c>
      <c r="C163" s="11"/>
      <c r="D163" s="12"/>
      <c r="E163" s="6"/>
      <c r="F163" s="13"/>
      <c r="G163" s="9"/>
      <c r="H163" s="7"/>
      <c r="I163" s="7"/>
    </row>
    <row r="164" spans="1:9" x14ac:dyDescent="0.25">
      <c r="A164" s="23" t="str">
        <f t="shared" si="4"/>
        <v>Please select an account</v>
      </c>
      <c r="B164" s="24" t="str">
        <f t="shared" si="5"/>
        <v>Please enter a date</v>
      </c>
      <c r="C164" s="11"/>
      <c r="D164" s="12"/>
      <c r="E164" s="6"/>
      <c r="F164" s="13"/>
      <c r="G164" s="9"/>
      <c r="H164" s="7"/>
      <c r="I164" s="7"/>
    </row>
    <row r="165" spans="1:9" x14ac:dyDescent="0.25">
      <c r="A165" s="23" t="str">
        <f t="shared" si="4"/>
        <v>Please select an account</v>
      </c>
      <c r="B165" s="24" t="str">
        <f t="shared" si="5"/>
        <v>Please enter a date</v>
      </c>
      <c r="C165" s="11"/>
      <c r="D165" s="12"/>
      <c r="E165" s="6"/>
      <c r="F165" s="13"/>
      <c r="G165" s="9"/>
      <c r="H165" s="7"/>
      <c r="I165" s="7"/>
    </row>
    <row r="166" spans="1:9" x14ac:dyDescent="0.25">
      <c r="A166" s="23" t="str">
        <f t="shared" si="4"/>
        <v>Please select an account</v>
      </c>
      <c r="B166" s="24" t="str">
        <f t="shared" si="5"/>
        <v>Please enter a date</v>
      </c>
      <c r="C166" s="11"/>
      <c r="D166" s="12"/>
      <c r="E166" s="6"/>
      <c r="F166" s="13"/>
      <c r="G166" s="9"/>
      <c r="H166" s="7"/>
      <c r="I166" s="7"/>
    </row>
    <row r="167" spans="1:9" x14ac:dyDescent="0.25">
      <c r="A167" s="23" t="str">
        <f t="shared" si="4"/>
        <v>Please select an account</v>
      </c>
      <c r="B167" s="24" t="str">
        <f t="shared" si="5"/>
        <v>Please enter a date</v>
      </c>
      <c r="C167" s="11"/>
      <c r="D167" s="12"/>
      <c r="E167" s="6"/>
      <c r="F167" s="13"/>
      <c r="G167" s="9"/>
      <c r="H167" s="7"/>
      <c r="I167" s="7"/>
    </row>
    <row r="168" spans="1:9" x14ac:dyDescent="0.25">
      <c r="A168" s="23" t="str">
        <f t="shared" si="4"/>
        <v>Please select an account</v>
      </c>
      <c r="B168" s="24" t="str">
        <f t="shared" si="5"/>
        <v>Please enter a date</v>
      </c>
      <c r="C168" s="11"/>
      <c r="D168" s="12"/>
      <c r="E168" s="6"/>
      <c r="F168" s="13"/>
      <c r="G168" s="9"/>
      <c r="H168" s="7"/>
      <c r="I168" s="7"/>
    </row>
    <row r="169" spans="1:9" x14ac:dyDescent="0.25">
      <c r="A169" s="23" t="str">
        <f t="shared" si="4"/>
        <v>Please select an account</v>
      </c>
      <c r="B169" s="24" t="str">
        <f t="shared" si="5"/>
        <v>Please enter a date</v>
      </c>
      <c r="C169" s="11"/>
      <c r="D169" s="12"/>
      <c r="E169" s="6"/>
      <c r="F169" s="13"/>
      <c r="G169" s="9"/>
      <c r="H169" s="7"/>
      <c r="I169" s="7"/>
    </row>
    <row r="170" spans="1:9" x14ac:dyDescent="0.25">
      <c r="A170" s="23" t="str">
        <f t="shared" si="4"/>
        <v>Please select an account</v>
      </c>
      <c r="B170" s="24" t="str">
        <f t="shared" si="5"/>
        <v>Please enter a date</v>
      </c>
      <c r="C170" s="11"/>
      <c r="D170" s="12"/>
      <c r="E170" s="6"/>
      <c r="F170" s="13"/>
      <c r="G170" s="9"/>
      <c r="H170" s="7"/>
      <c r="I170" s="7"/>
    </row>
    <row r="171" spans="1:9" x14ac:dyDescent="0.25">
      <c r="A171" s="23" t="str">
        <f t="shared" si="4"/>
        <v>Please select an account</v>
      </c>
      <c r="B171" s="24" t="str">
        <f t="shared" si="5"/>
        <v>Please enter a date</v>
      </c>
      <c r="C171" s="11"/>
      <c r="D171" s="12"/>
      <c r="E171" s="6"/>
      <c r="F171" s="13"/>
      <c r="G171" s="9"/>
      <c r="H171" s="7"/>
      <c r="I171" s="7"/>
    </row>
    <row r="172" spans="1:9" x14ac:dyDescent="0.25">
      <c r="A172" s="23" t="str">
        <f t="shared" si="4"/>
        <v>Please select an account</v>
      </c>
      <c r="B172" s="24" t="str">
        <f t="shared" si="5"/>
        <v>Please enter a date</v>
      </c>
      <c r="C172" s="11"/>
      <c r="D172" s="12"/>
      <c r="E172" s="6"/>
      <c r="F172" s="13"/>
      <c r="G172" s="9"/>
      <c r="H172" s="7"/>
      <c r="I172" s="7"/>
    </row>
    <row r="173" spans="1:9" x14ac:dyDescent="0.25">
      <c r="A173" s="23" t="str">
        <f t="shared" si="4"/>
        <v>Please select an account</v>
      </c>
      <c r="B173" s="24" t="str">
        <f t="shared" si="5"/>
        <v>Please enter a date</v>
      </c>
      <c r="C173" s="11"/>
      <c r="D173" s="12"/>
      <c r="E173" s="6"/>
      <c r="F173" s="13"/>
      <c r="G173" s="9"/>
      <c r="H173" s="7"/>
      <c r="I173" s="7"/>
    </row>
    <row r="174" spans="1:9" x14ac:dyDescent="0.25">
      <c r="A174" s="23" t="str">
        <f t="shared" si="4"/>
        <v>Please select an account</v>
      </c>
      <c r="B174" s="24" t="str">
        <f t="shared" si="5"/>
        <v>Please enter a date</v>
      </c>
      <c r="C174" s="11"/>
      <c r="D174" s="12"/>
      <c r="E174" s="6"/>
      <c r="F174" s="13"/>
      <c r="G174" s="9"/>
      <c r="H174" s="7"/>
      <c r="I174" s="7"/>
    </row>
    <row r="175" spans="1:9" x14ac:dyDescent="0.25">
      <c r="A175" s="23" t="str">
        <f t="shared" si="4"/>
        <v>Please select an account</v>
      </c>
      <c r="B175" s="24" t="str">
        <f t="shared" si="5"/>
        <v>Please enter a date</v>
      </c>
      <c r="C175" s="11"/>
      <c r="D175" s="12"/>
      <c r="E175" s="6"/>
      <c r="F175" s="13"/>
      <c r="G175" s="9"/>
      <c r="H175" s="7"/>
      <c r="I175" s="7"/>
    </row>
    <row r="176" spans="1:9" x14ac:dyDescent="0.25">
      <c r="A176" s="23" t="str">
        <f t="shared" si="4"/>
        <v>Please select an account</v>
      </c>
      <c r="B176" s="24" t="str">
        <f t="shared" si="5"/>
        <v>Please enter a date</v>
      </c>
      <c r="C176" s="11"/>
      <c r="D176" s="12"/>
      <c r="E176" s="6"/>
      <c r="F176" s="13"/>
      <c r="G176" s="9"/>
      <c r="H176" s="7"/>
      <c r="I176" s="7"/>
    </row>
    <row r="177" spans="1:9" x14ac:dyDescent="0.25">
      <c r="A177" s="23" t="str">
        <f t="shared" si="4"/>
        <v>Please select an account</v>
      </c>
      <c r="B177" s="24" t="str">
        <f t="shared" si="5"/>
        <v>Please enter a date</v>
      </c>
      <c r="C177" s="11"/>
      <c r="D177" s="12"/>
      <c r="E177" s="6"/>
      <c r="F177" s="13"/>
      <c r="G177" s="9"/>
      <c r="H177" s="7"/>
      <c r="I177" s="7"/>
    </row>
    <row r="178" spans="1:9" x14ac:dyDescent="0.25">
      <c r="A178" s="23" t="str">
        <f t="shared" si="4"/>
        <v>Please select an account</v>
      </c>
      <c r="B178" s="24" t="str">
        <f t="shared" si="5"/>
        <v>Please enter a date</v>
      </c>
      <c r="C178" s="11"/>
      <c r="D178" s="12"/>
      <c r="E178" s="6"/>
      <c r="F178" s="13"/>
      <c r="G178" s="9"/>
      <c r="H178" s="7"/>
      <c r="I178" s="7"/>
    </row>
    <row r="179" spans="1:9" x14ac:dyDescent="0.25">
      <c r="A179" s="23" t="str">
        <f t="shared" si="4"/>
        <v>Please select an account</v>
      </c>
      <c r="B179" s="24" t="str">
        <f t="shared" si="5"/>
        <v>Please enter a date</v>
      </c>
      <c r="C179" s="11"/>
      <c r="D179" s="12"/>
      <c r="E179" s="6"/>
      <c r="F179" s="13"/>
      <c r="G179" s="9"/>
      <c r="H179" s="7"/>
      <c r="I179" s="7"/>
    </row>
    <row r="180" spans="1:9" x14ac:dyDescent="0.25">
      <c r="A180" s="23" t="str">
        <f t="shared" si="4"/>
        <v>Please select an account</v>
      </c>
      <c r="B180" s="24" t="str">
        <f t="shared" si="5"/>
        <v>Please enter a date</v>
      </c>
      <c r="C180" s="11"/>
      <c r="D180" s="12"/>
      <c r="E180" s="6"/>
      <c r="F180" s="13"/>
      <c r="G180" s="9"/>
      <c r="H180" s="7"/>
      <c r="I180" s="7"/>
    </row>
    <row r="181" spans="1:9" x14ac:dyDescent="0.25">
      <c r="A181" s="23" t="str">
        <f t="shared" si="4"/>
        <v>Please select an account</v>
      </c>
      <c r="B181" s="24" t="str">
        <f t="shared" si="5"/>
        <v>Please enter a date</v>
      </c>
      <c r="C181" s="11"/>
      <c r="D181" s="12"/>
      <c r="E181" s="6"/>
      <c r="F181" s="13"/>
      <c r="G181" s="9"/>
      <c r="H181" s="7"/>
      <c r="I181" s="7"/>
    </row>
    <row r="182" spans="1:9" x14ac:dyDescent="0.25">
      <c r="A182" s="23" t="str">
        <f t="shared" si="4"/>
        <v>Please select an account</v>
      </c>
      <c r="B182" s="24" t="str">
        <f t="shared" si="5"/>
        <v>Please enter a date</v>
      </c>
      <c r="C182" s="11"/>
      <c r="D182" s="12"/>
      <c r="E182" s="6"/>
      <c r="F182" s="13"/>
      <c r="G182" s="9"/>
      <c r="H182" s="7"/>
      <c r="I182" s="7"/>
    </row>
    <row r="183" spans="1:9" x14ac:dyDescent="0.25">
      <c r="A183" s="23" t="str">
        <f t="shared" si="4"/>
        <v>Please select an account</v>
      </c>
      <c r="B183" s="24" t="str">
        <f t="shared" si="5"/>
        <v>Please enter a date</v>
      </c>
      <c r="C183" s="11"/>
      <c r="D183" s="12"/>
      <c r="E183" s="6"/>
      <c r="F183" s="13"/>
      <c r="G183" s="9"/>
      <c r="H183" s="7"/>
      <c r="I183" s="7"/>
    </row>
    <row r="184" spans="1:9" x14ac:dyDescent="0.25">
      <c r="A184" s="23" t="str">
        <f t="shared" si="4"/>
        <v>Please select an account</v>
      </c>
      <c r="B184" s="24" t="str">
        <f t="shared" si="5"/>
        <v>Please enter a date</v>
      </c>
      <c r="C184" s="11"/>
      <c r="D184" s="12"/>
      <c r="E184" s="6"/>
      <c r="F184" s="13"/>
      <c r="G184" s="9"/>
      <c r="H184" s="7"/>
      <c r="I184" s="7"/>
    </row>
    <row r="185" spans="1:9" x14ac:dyDescent="0.25">
      <c r="A185" s="23" t="str">
        <f t="shared" si="4"/>
        <v>Please select an account</v>
      </c>
      <c r="B185" s="24" t="str">
        <f t="shared" si="5"/>
        <v>Please enter a date</v>
      </c>
      <c r="C185" s="11"/>
      <c r="D185" s="12"/>
      <c r="E185" s="6"/>
      <c r="F185" s="13"/>
      <c r="G185" s="9"/>
      <c r="H185" s="7"/>
      <c r="I185" s="7"/>
    </row>
    <row r="186" spans="1:9" x14ac:dyDescent="0.25">
      <c r="A186" s="23" t="str">
        <f t="shared" si="4"/>
        <v>Please select an account</v>
      </c>
      <c r="B186" s="24" t="str">
        <f t="shared" si="5"/>
        <v>Please enter a date</v>
      </c>
      <c r="C186" s="11"/>
      <c r="D186" s="12"/>
      <c r="E186" s="6"/>
      <c r="F186" s="13"/>
      <c r="G186" s="9"/>
      <c r="H186" s="7"/>
      <c r="I186" s="7"/>
    </row>
    <row r="187" spans="1:9" x14ac:dyDescent="0.25">
      <c r="A187" s="23" t="str">
        <f t="shared" si="4"/>
        <v>Please select an account</v>
      </c>
      <c r="B187" s="24" t="str">
        <f t="shared" si="5"/>
        <v>Please enter a date</v>
      </c>
      <c r="C187" s="11"/>
      <c r="D187" s="12"/>
      <c r="E187" s="6"/>
      <c r="F187" s="13"/>
      <c r="G187" s="9"/>
      <c r="H187" s="7"/>
      <c r="I187" s="7"/>
    </row>
    <row r="188" spans="1:9" x14ac:dyDescent="0.25">
      <c r="A188" s="23" t="str">
        <f t="shared" si="4"/>
        <v>Please select an account</v>
      </c>
      <c r="B188" s="24" t="str">
        <f t="shared" si="5"/>
        <v>Please enter a date</v>
      </c>
      <c r="C188" s="11"/>
      <c r="D188" s="12"/>
      <c r="E188" s="6"/>
      <c r="F188" s="13"/>
      <c r="G188" s="9"/>
      <c r="H188" s="7"/>
      <c r="I188" s="7"/>
    </row>
    <row r="189" spans="1:9" x14ac:dyDescent="0.25">
      <c r="A189" s="23" t="str">
        <f t="shared" si="4"/>
        <v>Please select an account</v>
      </c>
      <c r="B189" s="24" t="str">
        <f t="shared" si="5"/>
        <v>Please enter a date</v>
      </c>
      <c r="C189" s="11"/>
      <c r="D189" s="12"/>
      <c r="E189" s="6"/>
      <c r="F189" s="13"/>
      <c r="G189" s="9"/>
      <c r="H189" s="7"/>
      <c r="I189" s="7"/>
    </row>
    <row r="190" spans="1:9" x14ac:dyDescent="0.25">
      <c r="A190" s="23" t="str">
        <f t="shared" si="4"/>
        <v>Please select an account</v>
      </c>
      <c r="B190" s="24" t="str">
        <f t="shared" si="5"/>
        <v>Please enter a date</v>
      </c>
      <c r="C190" s="11"/>
      <c r="D190" s="12"/>
      <c r="E190" s="6"/>
      <c r="F190" s="13"/>
      <c r="G190" s="9"/>
      <c r="H190" s="7"/>
      <c r="I190" s="7"/>
    </row>
    <row r="191" spans="1:9" x14ac:dyDescent="0.25">
      <c r="A191" s="23" t="str">
        <f t="shared" si="4"/>
        <v>Please select an account</v>
      </c>
      <c r="B191" s="24" t="str">
        <f t="shared" si="5"/>
        <v>Please enter a date</v>
      </c>
      <c r="C191" s="11"/>
      <c r="D191" s="12"/>
      <c r="E191" s="6"/>
      <c r="F191" s="13"/>
      <c r="G191" s="9"/>
      <c r="H191" s="7"/>
      <c r="I191" s="7"/>
    </row>
    <row r="192" spans="1:9" x14ac:dyDescent="0.25">
      <c r="A192" s="23" t="str">
        <f t="shared" si="4"/>
        <v>Please select an account</v>
      </c>
      <c r="B192" s="24" t="str">
        <f t="shared" si="5"/>
        <v>Please enter a date</v>
      </c>
      <c r="C192" s="11"/>
      <c r="D192" s="12"/>
      <c r="E192" s="6"/>
      <c r="F192" s="13"/>
      <c r="G192" s="9"/>
      <c r="H192" s="7"/>
      <c r="I192" s="7"/>
    </row>
    <row r="193" spans="1:9" x14ac:dyDescent="0.25">
      <c r="A193" s="23" t="str">
        <f t="shared" si="4"/>
        <v>Please select an account</v>
      </c>
      <c r="B193" s="24" t="str">
        <f t="shared" si="5"/>
        <v>Please enter a date</v>
      </c>
      <c r="C193" s="11"/>
      <c r="D193" s="12"/>
      <c r="E193" s="6"/>
      <c r="F193" s="13"/>
      <c r="G193" s="9"/>
      <c r="H193" s="7"/>
      <c r="I193" s="7"/>
    </row>
    <row r="194" spans="1:9" x14ac:dyDescent="0.25">
      <c r="A194" s="23" t="str">
        <f t="shared" si="4"/>
        <v>Please select an account</v>
      </c>
      <c r="B194" s="24" t="str">
        <f t="shared" si="5"/>
        <v>Please enter a date</v>
      </c>
      <c r="C194" s="11"/>
      <c r="D194" s="12"/>
      <c r="E194" s="6"/>
      <c r="F194" s="13"/>
      <c r="G194" s="9"/>
      <c r="H194" s="7"/>
      <c r="I194" s="7"/>
    </row>
    <row r="195" spans="1:9" x14ac:dyDescent="0.25">
      <c r="A195" s="23" t="str">
        <f t="shared" si="4"/>
        <v>Please select an account</v>
      </c>
      <c r="B195" s="24" t="str">
        <f t="shared" si="5"/>
        <v>Please enter a date</v>
      </c>
      <c r="C195" s="11"/>
      <c r="D195" s="12"/>
      <c r="E195" s="6"/>
      <c r="F195" s="13"/>
      <c r="G195" s="9"/>
      <c r="H195" s="7"/>
      <c r="I195" s="7"/>
    </row>
    <row r="196" spans="1:9" x14ac:dyDescent="0.25">
      <c r="A196" s="23" t="str">
        <f t="shared" si="4"/>
        <v>Please select an account</v>
      </c>
      <c r="B196" s="24" t="str">
        <f t="shared" si="5"/>
        <v>Please enter a date</v>
      </c>
      <c r="C196" s="11"/>
      <c r="D196" s="12"/>
      <c r="E196" s="6"/>
      <c r="F196" s="13"/>
      <c r="G196" s="9"/>
      <c r="H196" s="7"/>
      <c r="I196" s="7"/>
    </row>
    <row r="197" spans="1:9" x14ac:dyDescent="0.25">
      <c r="A197" s="23" t="str">
        <f t="shared" si="4"/>
        <v>Please select an account</v>
      </c>
      <c r="B197" s="24" t="str">
        <f t="shared" si="5"/>
        <v>Please enter a date</v>
      </c>
      <c r="C197" s="11"/>
      <c r="D197" s="12"/>
      <c r="E197" s="6"/>
      <c r="F197" s="13"/>
      <c r="G197" s="9"/>
      <c r="H197" s="7"/>
      <c r="I197" s="7"/>
    </row>
    <row r="198" spans="1:9" x14ac:dyDescent="0.25">
      <c r="A198" s="23" t="str">
        <f t="shared" ref="A198:A261" si="6">IF($A$2=0,"Please select an account",$A$2)</f>
        <v>Please select an account</v>
      </c>
      <c r="B198" s="24" t="str">
        <f t="shared" ref="B198:B261" si="7">IF(TEXT($B$2,"YYYY-MM-DD")&lt;&gt;"1900-01-00",TEXT($B$2,"YYYY-MM-DD"),"Please enter a date")</f>
        <v>Please enter a date</v>
      </c>
      <c r="C198" s="11"/>
      <c r="D198" s="12"/>
      <c r="E198" s="6"/>
      <c r="F198" s="13"/>
      <c r="G198" s="9"/>
      <c r="H198" s="7"/>
      <c r="I198" s="7"/>
    </row>
    <row r="199" spans="1:9" x14ac:dyDescent="0.25">
      <c r="A199" s="23" t="str">
        <f t="shared" si="6"/>
        <v>Please select an account</v>
      </c>
      <c r="B199" s="24" t="str">
        <f t="shared" si="7"/>
        <v>Please enter a date</v>
      </c>
      <c r="C199" s="11"/>
      <c r="D199" s="12"/>
      <c r="E199" s="6"/>
      <c r="F199" s="13"/>
      <c r="G199" s="9"/>
      <c r="H199" s="7"/>
      <c r="I199" s="7"/>
    </row>
    <row r="200" spans="1:9" x14ac:dyDescent="0.25">
      <c r="A200" s="23" t="str">
        <f t="shared" si="6"/>
        <v>Please select an account</v>
      </c>
      <c r="B200" s="24" t="str">
        <f t="shared" si="7"/>
        <v>Please enter a date</v>
      </c>
      <c r="C200" s="11"/>
      <c r="D200" s="12"/>
      <c r="E200" s="6"/>
      <c r="F200" s="13"/>
      <c r="G200" s="9"/>
      <c r="H200" s="7"/>
      <c r="I200" s="7"/>
    </row>
    <row r="201" spans="1:9" x14ac:dyDescent="0.25">
      <c r="A201" s="23" t="str">
        <f t="shared" si="6"/>
        <v>Please select an account</v>
      </c>
      <c r="B201" s="24" t="str">
        <f t="shared" si="7"/>
        <v>Please enter a date</v>
      </c>
      <c r="C201" s="11"/>
      <c r="D201" s="12"/>
      <c r="E201" s="6"/>
      <c r="F201" s="13"/>
      <c r="G201" s="9"/>
      <c r="H201" s="7"/>
      <c r="I201" s="7"/>
    </row>
    <row r="202" spans="1:9" x14ac:dyDescent="0.25">
      <c r="A202" s="23" t="str">
        <f t="shared" si="6"/>
        <v>Please select an account</v>
      </c>
      <c r="B202" s="24" t="str">
        <f t="shared" si="7"/>
        <v>Please enter a date</v>
      </c>
      <c r="C202" s="11"/>
      <c r="D202" s="12"/>
      <c r="E202" s="6"/>
      <c r="F202" s="13"/>
      <c r="G202" s="9"/>
      <c r="H202" s="7"/>
      <c r="I202" s="7"/>
    </row>
    <row r="203" spans="1:9" x14ac:dyDescent="0.25">
      <c r="A203" s="23" t="str">
        <f t="shared" si="6"/>
        <v>Please select an account</v>
      </c>
      <c r="B203" s="24" t="str">
        <f t="shared" si="7"/>
        <v>Please enter a date</v>
      </c>
      <c r="C203" s="11"/>
      <c r="D203" s="12"/>
      <c r="E203" s="6"/>
      <c r="F203" s="13"/>
      <c r="G203" s="9"/>
      <c r="H203" s="7"/>
      <c r="I203" s="7"/>
    </row>
    <row r="204" spans="1:9" x14ac:dyDescent="0.25">
      <c r="A204" s="23" t="str">
        <f t="shared" si="6"/>
        <v>Please select an account</v>
      </c>
      <c r="B204" s="24" t="str">
        <f t="shared" si="7"/>
        <v>Please enter a date</v>
      </c>
      <c r="C204" s="11"/>
      <c r="D204" s="12"/>
      <c r="E204" s="6"/>
      <c r="F204" s="13"/>
      <c r="G204" s="9"/>
      <c r="H204" s="7"/>
      <c r="I204" s="7"/>
    </row>
    <row r="205" spans="1:9" x14ac:dyDescent="0.25">
      <c r="A205" s="23" t="str">
        <f t="shared" si="6"/>
        <v>Please select an account</v>
      </c>
      <c r="B205" s="24" t="str">
        <f t="shared" si="7"/>
        <v>Please enter a date</v>
      </c>
      <c r="C205" s="11"/>
      <c r="D205" s="12"/>
      <c r="E205" s="6"/>
      <c r="F205" s="13"/>
      <c r="G205" s="9"/>
      <c r="H205" s="7"/>
      <c r="I205" s="7"/>
    </row>
    <row r="206" spans="1:9" x14ac:dyDescent="0.25">
      <c r="A206" s="23" t="str">
        <f t="shared" si="6"/>
        <v>Please select an account</v>
      </c>
      <c r="B206" s="24" t="str">
        <f t="shared" si="7"/>
        <v>Please enter a date</v>
      </c>
      <c r="C206" s="11"/>
      <c r="D206" s="12"/>
      <c r="E206" s="6"/>
      <c r="F206" s="13"/>
      <c r="G206" s="9"/>
      <c r="H206" s="7"/>
      <c r="I206" s="7"/>
    </row>
    <row r="207" spans="1:9" x14ac:dyDescent="0.25">
      <c r="A207" s="23" t="str">
        <f t="shared" si="6"/>
        <v>Please select an account</v>
      </c>
      <c r="B207" s="24" t="str">
        <f t="shared" si="7"/>
        <v>Please enter a date</v>
      </c>
      <c r="C207" s="11"/>
      <c r="D207" s="12"/>
      <c r="E207" s="6"/>
      <c r="F207" s="13"/>
      <c r="G207" s="9"/>
      <c r="H207" s="7"/>
      <c r="I207" s="7"/>
    </row>
    <row r="208" spans="1:9" x14ac:dyDescent="0.25">
      <c r="A208" s="23" t="str">
        <f t="shared" si="6"/>
        <v>Please select an account</v>
      </c>
      <c r="B208" s="24" t="str">
        <f t="shared" si="7"/>
        <v>Please enter a date</v>
      </c>
      <c r="C208" s="11"/>
      <c r="D208" s="12"/>
      <c r="E208" s="6"/>
      <c r="F208" s="13"/>
      <c r="G208" s="9"/>
      <c r="H208" s="7"/>
      <c r="I208" s="7"/>
    </row>
    <row r="209" spans="1:9" x14ac:dyDescent="0.25">
      <c r="A209" s="23" t="str">
        <f t="shared" si="6"/>
        <v>Please select an account</v>
      </c>
      <c r="B209" s="24" t="str">
        <f t="shared" si="7"/>
        <v>Please enter a date</v>
      </c>
      <c r="C209" s="11"/>
      <c r="D209" s="12"/>
      <c r="E209" s="6"/>
      <c r="F209" s="13"/>
      <c r="G209" s="9"/>
      <c r="H209" s="7"/>
      <c r="I209" s="7"/>
    </row>
    <row r="210" spans="1:9" x14ac:dyDescent="0.25">
      <c r="A210" s="23" t="str">
        <f t="shared" si="6"/>
        <v>Please select an account</v>
      </c>
      <c r="B210" s="24" t="str">
        <f t="shared" si="7"/>
        <v>Please enter a date</v>
      </c>
      <c r="C210" s="11"/>
      <c r="D210" s="12"/>
      <c r="E210" s="6"/>
      <c r="F210" s="13"/>
      <c r="G210" s="9"/>
      <c r="H210" s="7"/>
      <c r="I210" s="7"/>
    </row>
    <row r="211" spans="1:9" x14ac:dyDescent="0.25">
      <c r="A211" s="23" t="str">
        <f t="shared" si="6"/>
        <v>Please select an account</v>
      </c>
      <c r="B211" s="24" t="str">
        <f t="shared" si="7"/>
        <v>Please enter a date</v>
      </c>
      <c r="C211" s="11"/>
      <c r="D211" s="12"/>
      <c r="E211" s="6"/>
      <c r="F211" s="13"/>
      <c r="G211" s="9"/>
      <c r="H211" s="7"/>
      <c r="I211" s="7"/>
    </row>
    <row r="212" spans="1:9" x14ac:dyDescent="0.25">
      <c r="A212" s="23" t="str">
        <f t="shared" si="6"/>
        <v>Please select an account</v>
      </c>
      <c r="B212" s="24" t="str">
        <f t="shared" si="7"/>
        <v>Please enter a date</v>
      </c>
      <c r="C212" s="11"/>
      <c r="D212" s="12"/>
      <c r="E212" s="6"/>
      <c r="F212" s="13"/>
      <c r="G212" s="9"/>
      <c r="H212" s="7"/>
      <c r="I212" s="7"/>
    </row>
    <row r="213" spans="1:9" x14ac:dyDescent="0.25">
      <c r="A213" s="23" t="str">
        <f t="shared" si="6"/>
        <v>Please select an account</v>
      </c>
      <c r="B213" s="24" t="str">
        <f t="shared" si="7"/>
        <v>Please enter a date</v>
      </c>
      <c r="C213" s="11"/>
      <c r="D213" s="12"/>
      <c r="E213" s="6"/>
      <c r="F213" s="13"/>
      <c r="G213" s="9"/>
      <c r="H213" s="7"/>
      <c r="I213" s="7"/>
    </row>
    <row r="214" spans="1:9" x14ac:dyDescent="0.25">
      <c r="A214" s="23" t="str">
        <f t="shared" si="6"/>
        <v>Please select an account</v>
      </c>
      <c r="B214" s="24" t="str">
        <f t="shared" si="7"/>
        <v>Please enter a date</v>
      </c>
      <c r="C214" s="11"/>
      <c r="D214" s="12"/>
      <c r="E214" s="6"/>
      <c r="F214" s="13"/>
      <c r="G214" s="9"/>
      <c r="H214" s="7"/>
      <c r="I214" s="7"/>
    </row>
    <row r="215" spans="1:9" x14ac:dyDescent="0.25">
      <c r="A215" s="23" t="str">
        <f t="shared" si="6"/>
        <v>Please select an account</v>
      </c>
      <c r="B215" s="24" t="str">
        <f t="shared" si="7"/>
        <v>Please enter a date</v>
      </c>
      <c r="C215" s="11"/>
      <c r="D215" s="12"/>
      <c r="E215" s="6"/>
      <c r="F215" s="13"/>
      <c r="G215" s="9"/>
      <c r="H215" s="7"/>
      <c r="I215" s="7"/>
    </row>
    <row r="216" spans="1:9" x14ac:dyDescent="0.25">
      <c r="A216" s="23" t="str">
        <f t="shared" si="6"/>
        <v>Please select an account</v>
      </c>
      <c r="B216" s="24" t="str">
        <f t="shared" si="7"/>
        <v>Please enter a date</v>
      </c>
      <c r="C216" s="11"/>
      <c r="D216" s="12"/>
      <c r="E216" s="6"/>
      <c r="F216" s="13"/>
      <c r="G216" s="9"/>
      <c r="H216" s="7"/>
      <c r="I216" s="7"/>
    </row>
    <row r="217" spans="1:9" x14ac:dyDescent="0.25">
      <c r="A217" s="23" t="str">
        <f t="shared" si="6"/>
        <v>Please select an account</v>
      </c>
      <c r="B217" s="24" t="str">
        <f t="shared" si="7"/>
        <v>Please enter a date</v>
      </c>
      <c r="C217" s="11"/>
      <c r="D217" s="12"/>
      <c r="E217" s="6"/>
      <c r="F217" s="13"/>
      <c r="G217" s="9"/>
      <c r="H217" s="7"/>
      <c r="I217" s="7"/>
    </row>
    <row r="218" spans="1:9" x14ac:dyDescent="0.25">
      <c r="A218" s="23" t="str">
        <f t="shared" si="6"/>
        <v>Please select an account</v>
      </c>
      <c r="B218" s="24" t="str">
        <f t="shared" si="7"/>
        <v>Please enter a date</v>
      </c>
      <c r="C218" s="11"/>
      <c r="D218" s="12"/>
      <c r="E218" s="6"/>
      <c r="F218" s="13"/>
      <c r="G218" s="9"/>
      <c r="H218" s="7"/>
      <c r="I218" s="7"/>
    </row>
    <row r="219" spans="1:9" x14ac:dyDescent="0.25">
      <c r="A219" s="23" t="str">
        <f t="shared" si="6"/>
        <v>Please select an account</v>
      </c>
      <c r="B219" s="24" t="str">
        <f t="shared" si="7"/>
        <v>Please enter a date</v>
      </c>
      <c r="C219" s="11"/>
      <c r="D219" s="12"/>
      <c r="E219" s="6"/>
      <c r="F219" s="13"/>
      <c r="G219" s="9"/>
      <c r="H219" s="7"/>
      <c r="I219" s="7"/>
    </row>
    <row r="220" spans="1:9" x14ac:dyDescent="0.25">
      <c r="A220" s="23" t="str">
        <f t="shared" si="6"/>
        <v>Please select an account</v>
      </c>
      <c r="B220" s="24" t="str">
        <f t="shared" si="7"/>
        <v>Please enter a date</v>
      </c>
      <c r="C220" s="11"/>
      <c r="D220" s="12"/>
      <c r="E220" s="6"/>
      <c r="F220" s="13"/>
      <c r="G220" s="9"/>
      <c r="H220" s="7"/>
      <c r="I220" s="7"/>
    </row>
    <row r="221" spans="1:9" x14ac:dyDescent="0.25">
      <c r="A221" s="23" t="str">
        <f t="shared" si="6"/>
        <v>Please select an account</v>
      </c>
      <c r="B221" s="24" t="str">
        <f t="shared" si="7"/>
        <v>Please enter a date</v>
      </c>
      <c r="C221" s="11"/>
      <c r="D221" s="12"/>
      <c r="E221" s="6"/>
      <c r="F221" s="13"/>
      <c r="G221" s="9"/>
      <c r="H221" s="7"/>
      <c r="I221" s="7"/>
    </row>
    <row r="222" spans="1:9" x14ac:dyDescent="0.25">
      <c r="A222" s="23" t="str">
        <f t="shared" si="6"/>
        <v>Please select an account</v>
      </c>
      <c r="B222" s="24" t="str">
        <f t="shared" si="7"/>
        <v>Please enter a date</v>
      </c>
      <c r="C222" s="11"/>
      <c r="D222" s="12"/>
      <c r="E222" s="6"/>
      <c r="F222" s="13"/>
      <c r="G222" s="9"/>
      <c r="H222" s="7"/>
      <c r="I222" s="7"/>
    </row>
    <row r="223" spans="1:9" x14ac:dyDescent="0.25">
      <c r="A223" s="23" t="str">
        <f t="shared" si="6"/>
        <v>Please select an account</v>
      </c>
      <c r="B223" s="24" t="str">
        <f t="shared" si="7"/>
        <v>Please enter a date</v>
      </c>
      <c r="C223" s="11"/>
      <c r="D223" s="12"/>
      <c r="E223" s="6"/>
      <c r="F223" s="13"/>
      <c r="G223" s="9"/>
      <c r="H223" s="7"/>
      <c r="I223" s="7"/>
    </row>
    <row r="224" spans="1:9" x14ac:dyDescent="0.25">
      <c r="A224" s="23" t="str">
        <f t="shared" si="6"/>
        <v>Please select an account</v>
      </c>
      <c r="B224" s="24" t="str">
        <f t="shared" si="7"/>
        <v>Please enter a date</v>
      </c>
      <c r="C224" s="11"/>
      <c r="D224" s="12"/>
      <c r="E224" s="6"/>
      <c r="F224" s="13"/>
      <c r="G224" s="9"/>
      <c r="H224" s="7"/>
      <c r="I224" s="7"/>
    </row>
    <row r="225" spans="1:9" x14ac:dyDescent="0.25">
      <c r="A225" s="23" t="str">
        <f t="shared" si="6"/>
        <v>Please select an account</v>
      </c>
      <c r="B225" s="24" t="str">
        <f t="shared" si="7"/>
        <v>Please enter a date</v>
      </c>
      <c r="C225" s="11"/>
      <c r="D225" s="12"/>
      <c r="E225" s="6"/>
      <c r="F225" s="13"/>
      <c r="G225" s="9"/>
      <c r="H225" s="7"/>
      <c r="I225" s="7"/>
    </row>
    <row r="226" spans="1:9" x14ac:dyDescent="0.25">
      <c r="A226" s="23" t="str">
        <f t="shared" si="6"/>
        <v>Please select an account</v>
      </c>
      <c r="B226" s="24" t="str">
        <f t="shared" si="7"/>
        <v>Please enter a date</v>
      </c>
      <c r="C226" s="11"/>
      <c r="D226" s="12"/>
      <c r="E226" s="6"/>
      <c r="F226" s="13"/>
      <c r="G226" s="9"/>
      <c r="H226" s="7"/>
      <c r="I226" s="7"/>
    </row>
    <row r="227" spans="1:9" x14ac:dyDescent="0.25">
      <c r="A227" s="23" t="str">
        <f t="shared" si="6"/>
        <v>Please select an account</v>
      </c>
      <c r="B227" s="24" t="str">
        <f t="shared" si="7"/>
        <v>Please enter a date</v>
      </c>
      <c r="C227" s="11"/>
      <c r="D227" s="12"/>
      <c r="E227" s="6"/>
      <c r="F227" s="13"/>
      <c r="G227" s="9"/>
      <c r="H227" s="7"/>
      <c r="I227" s="7"/>
    </row>
    <row r="228" spans="1:9" x14ac:dyDescent="0.25">
      <c r="A228" s="23" t="str">
        <f t="shared" si="6"/>
        <v>Please select an account</v>
      </c>
      <c r="B228" s="24" t="str">
        <f t="shared" si="7"/>
        <v>Please enter a date</v>
      </c>
      <c r="C228" s="11"/>
      <c r="D228" s="12"/>
      <c r="E228" s="6"/>
      <c r="F228" s="13"/>
      <c r="G228" s="9"/>
      <c r="H228" s="7"/>
      <c r="I228" s="7"/>
    </row>
    <row r="229" spans="1:9" x14ac:dyDescent="0.25">
      <c r="A229" s="23" t="str">
        <f t="shared" si="6"/>
        <v>Please select an account</v>
      </c>
      <c r="B229" s="24" t="str">
        <f t="shared" si="7"/>
        <v>Please enter a date</v>
      </c>
      <c r="C229" s="11"/>
      <c r="D229" s="12"/>
      <c r="E229" s="6"/>
      <c r="F229" s="13"/>
      <c r="G229" s="9"/>
      <c r="H229" s="7"/>
      <c r="I229" s="7"/>
    </row>
    <row r="230" spans="1:9" x14ac:dyDescent="0.25">
      <c r="A230" s="23" t="str">
        <f t="shared" si="6"/>
        <v>Please select an account</v>
      </c>
      <c r="B230" s="24" t="str">
        <f t="shared" si="7"/>
        <v>Please enter a date</v>
      </c>
      <c r="C230" s="11"/>
      <c r="D230" s="12"/>
      <c r="E230" s="6"/>
      <c r="F230" s="13"/>
      <c r="G230" s="9"/>
      <c r="H230" s="7"/>
      <c r="I230" s="7"/>
    </row>
    <row r="231" spans="1:9" x14ac:dyDescent="0.25">
      <c r="A231" s="23" t="str">
        <f t="shared" si="6"/>
        <v>Please select an account</v>
      </c>
      <c r="B231" s="24" t="str">
        <f t="shared" si="7"/>
        <v>Please enter a date</v>
      </c>
      <c r="C231" s="11"/>
      <c r="D231" s="12"/>
      <c r="E231" s="6"/>
      <c r="F231" s="13"/>
      <c r="G231" s="9"/>
      <c r="H231" s="7"/>
      <c r="I231" s="7"/>
    </row>
    <row r="232" spans="1:9" x14ac:dyDescent="0.25">
      <c r="A232" s="23" t="str">
        <f t="shared" si="6"/>
        <v>Please select an account</v>
      </c>
      <c r="B232" s="24" t="str">
        <f t="shared" si="7"/>
        <v>Please enter a date</v>
      </c>
      <c r="C232" s="11"/>
      <c r="D232" s="12"/>
      <c r="E232" s="6"/>
      <c r="F232" s="13"/>
      <c r="G232" s="9"/>
      <c r="H232" s="7"/>
      <c r="I232" s="7"/>
    </row>
    <row r="233" spans="1:9" x14ac:dyDescent="0.25">
      <c r="A233" s="23" t="str">
        <f t="shared" si="6"/>
        <v>Please select an account</v>
      </c>
      <c r="B233" s="24" t="str">
        <f t="shared" si="7"/>
        <v>Please enter a date</v>
      </c>
      <c r="C233" s="11"/>
      <c r="D233" s="12"/>
      <c r="E233" s="6"/>
      <c r="F233" s="13"/>
      <c r="G233" s="9"/>
      <c r="H233" s="7"/>
      <c r="I233" s="7"/>
    </row>
    <row r="234" spans="1:9" x14ac:dyDescent="0.25">
      <c r="A234" s="23" t="str">
        <f t="shared" si="6"/>
        <v>Please select an account</v>
      </c>
      <c r="B234" s="24" t="str">
        <f t="shared" si="7"/>
        <v>Please enter a date</v>
      </c>
      <c r="C234" s="11"/>
      <c r="D234" s="12"/>
      <c r="E234" s="6"/>
      <c r="F234" s="13"/>
      <c r="G234" s="9"/>
      <c r="H234" s="7"/>
      <c r="I234" s="7"/>
    </row>
    <row r="235" spans="1:9" x14ac:dyDescent="0.25">
      <c r="A235" s="23" t="str">
        <f t="shared" si="6"/>
        <v>Please select an account</v>
      </c>
      <c r="B235" s="24" t="str">
        <f t="shared" si="7"/>
        <v>Please enter a date</v>
      </c>
      <c r="C235" s="11"/>
      <c r="D235" s="12"/>
      <c r="E235" s="6"/>
      <c r="F235" s="13"/>
      <c r="G235" s="9"/>
      <c r="H235" s="7"/>
      <c r="I235" s="7"/>
    </row>
    <row r="236" spans="1:9" x14ac:dyDescent="0.25">
      <c r="A236" s="23" t="str">
        <f t="shared" si="6"/>
        <v>Please select an account</v>
      </c>
      <c r="B236" s="24" t="str">
        <f t="shared" si="7"/>
        <v>Please enter a date</v>
      </c>
      <c r="C236" s="11"/>
      <c r="D236" s="12"/>
      <c r="E236" s="6"/>
      <c r="F236" s="13"/>
      <c r="G236" s="9"/>
      <c r="H236" s="7"/>
      <c r="I236" s="7"/>
    </row>
    <row r="237" spans="1:9" x14ac:dyDescent="0.25">
      <c r="A237" s="23" t="str">
        <f t="shared" si="6"/>
        <v>Please select an account</v>
      </c>
      <c r="B237" s="24" t="str">
        <f t="shared" si="7"/>
        <v>Please enter a date</v>
      </c>
      <c r="C237" s="11"/>
      <c r="D237" s="12"/>
      <c r="E237" s="6"/>
      <c r="F237" s="13"/>
      <c r="G237" s="9"/>
      <c r="H237" s="7"/>
      <c r="I237" s="7"/>
    </row>
    <row r="238" spans="1:9" x14ac:dyDescent="0.25">
      <c r="A238" s="23" t="str">
        <f t="shared" si="6"/>
        <v>Please select an account</v>
      </c>
      <c r="B238" s="24" t="str">
        <f t="shared" si="7"/>
        <v>Please enter a date</v>
      </c>
      <c r="C238" s="11"/>
      <c r="D238" s="12"/>
      <c r="E238" s="6"/>
      <c r="F238" s="13"/>
      <c r="G238" s="9"/>
      <c r="H238" s="7"/>
      <c r="I238" s="7"/>
    </row>
    <row r="239" spans="1:9" x14ac:dyDescent="0.25">
      <c r="A239" s="23" t="str">
        <f t="shared" si="6"/>
        <v>Please select an account</v>
      </c>
      <c r="B239" s="24" t="str">
        <f t="shared" si="7"/>
        <v>Please enter a date</v>
      </c>
      <c r="C239" s="11"/>
      <c r="D239" s="12"/>
      <c r="E239" s="6"/>
      <c r="F239" s="13"/>
      <c r="G239" s="9"/>
      <c r="H239" s="7"/>
      <c r="I239" s="7"/>
    </row>
    <row r="240" spans="1:9" x14ac:dyDescent="0.25">
      <c r="A240" s="23" t="str">
        <f t="shared" si="6"/>
        <v>Please select an account</v>
      </c>
      <c r="B240" s="24" t="str">
        <f t="shared" si="7"/>
        <v>Please enter a date</v>
      </c>
      <c r="C240" s="11"/>
      <c r="D240" s="12"/>
      <c r="E240" s="6"/>
      <c r="F240" s="13"/>
      <c r="G240" s="9"/>
      <c r="H240" s="7"/>
      <c r="I240" s="7"/>
    </row>
    <row r="241" spans="1:9" x14ac:dyDescent="0.25">
      <c r="A241" s="23" t="str">
        <f t="shared" si="6"/>
        <v>Please select an account</v>
      </c>
      <c r="B241" s="24" t="str">
        <f t="shared" si="7"/>
        <v>Please enter a date</v>
      </c>
      <c r="C241" s="11"/>
      <c r="D241" s="12"/>
      <c r="E241" s="6"/>
      <c r="F241" s="13"/>
      <c r="G241" s="9"/>
      <c r="H241" s="7"/>
      <c r="I241" s="7"/>
    </row>
    <row r="242" spans="1:9" x14ac:dyDescent="0.25">
      <c r="A242" s="23" t="str">
        <f t="shared" si="6"/>
        <v>Please select an account</v>
      </c>
      <c r="B242" s="24" t="str">
        <f t="shared" si="7"/>
        <v>Please enter a date</v>
      </c>
      <c r="C242" s="11"/>
      <c r="D242" s="12"/>
      <c r="E242" s="6"/>
      <c r="F242" s="13"/>
      <c r="G242" s="9"/>
      <c r="H242" s="7"/>
      <c r="I242" s="7"/>
    </row>
    <row r="243" spans="1:9" x14ac:dyDescent="0.25">
      <c r="A243" s="23" t="str">
        <f t="shared" si="6"/>
        <v>Please select an account</v>
      </c>
      <c r="B243" s="24" t="str">
        <f t="shared" si="7"/>
        <v>Please enter a date</v>
      </c>
      <c r="C243" s="11"/>
      <c r="D243" s="12"/>
      <c r="E243" s="6"/>
      <c r="F243" s="13"/>
      <c r="G243" s="9"/>
      <c r="H243" s="7"/>
      <c r="I243" s="7"/>
    </row>
    <row r="244" spans="1:9" x14ac:dyDescent="0.25">
      <c r="A244" s="23" t="str">
        <f t="shared" si="6"/>
        <v>Please select an account</v>
      </c>
      <c r="B244" s="24" t="str">
        <f t="shared" si="7"/>
        <v>Please enter a date</v>
      </c>
      <c r="C244" s="11"/>
      <c r="D244" s="12"/>
      <c r="E244" s="6"/>
      <c r="F244" s="13"/>
      <c r="G244" s="9"/>
      <c r="H244" s="7"/>
      <c r="I244" s="7"/>
    </row>
    <row r="245" spans="1:9" x14ac:dyDescent="0.25">
      <c r="A245" s="23" t="str">
        <f t="shared" si="6"/>
        <v>Please select an account</v>
      </c>
      <c r="B245" s="24" t="str">
        <f t="shared" si="7"/>
        <v>Please enter a date</v>
      </c>
      <c r="C245" s="11"/>
      <c r="D245" s="12"/>
      <c r="E245" s="6"/>
      <c r="F245" s="13"/>
      <c r="G245" s="9"/>
      <c r="H245" s="7"/>
      <c r="I245" s="7"/>
    </row>
    <row r="246" spans="1:9" x14ac:dyDescent="0.25">
      <c r="A246" s="23" t="str">
        <f t="shared" si="6"/>
        <v>Please select an account</v>
      </c>
      <c r="B246" s="24" t="str">
        <f t="shared" si="7"/>
        <v>Please enter a date</v>
      </c>
      <c r="C246" s="11"/>
      <c r="D246" s="12"/>
      <c r="E246" s="6"/>
      <c r="F246" s="13"/>
      <c r="G246" s="9"/>
      <c r="H246" s="7"/>
      <c r="I246" s="7"/>
    </row>
    <row r="247" spans="1:9" x14ac:dyDescent="0.25">
      <c r="A247" s="23" t="str">
        <f t="shared" si="6"/>
        <v>Please select an account</v>
      </c>
      <c r="B247" s="24" t="str">
        <f t="shared" si="7"/>
        <v>Please enter a date</v>
      </c>
      <c r="C247" s="11"/>
      <c r="D247" s="12"/>
      <c r="E247" s="6"/>
      <c r="F247" s="13"/>
      <c r="G247" s="9"/>
      <c r="H247" s="7"/>
      <c r="I247" s="7"/>
    </row>
    <row r="248" spans="1:9" x14ac:dyDescent="0.25">
      <c r="A248" s="23" t="str">
        <f t="shared" si="6"/>
        <v>Please select an account</v>
      </c>
      <c r="B248" s="24" t="str">
        <f t="shared" si="7"/>
        <v>Please enter a date</v>
      </c>
      <c r="C248" s="11"/>
      <c r="D248" s="12"/>
      <c r="E248" s="6"/>
      <c r="F248" s="13"/>
      <c r="G248" s="9"/>
      <c r="H248" s="7"/>
      <c r="I248" s="7"/>
    </row>
    <row r="249" spans="1:9" x14ac:dyDescent="0.25">
      <c r="A249" s="23" t="str">
        <f t="shared" si="6"/>
        <v>Please select an account</v>
      </c>
      <c r="B249" s="24" t="str">
        <f t="shared" si="7"/>
        <v>Please enter a date</v>
      </c>
      <c r="C249" s="11"/>
      <c r="D249" s="12"/>
      <c r="E249" s="6"/>
      <c r="F249" s="13"/>
      <c r="G249" s="9"/>
      <c r="H249" s="7"/>
      <c r="I249" s="7"/>
    </row>
    <row r="250" spans="1:9" x14ac:dyDescent="0.25">
      <c r="A250" s="23" t="str">
        <f t="shared" si="6"/>
        <v>Please select an account</v>
      </c>
      <c r="B250" s="24" t="str">
        <f t="shared" si="7"/>
        <v>Please enter a date</v>
      </c>
      <c r="C250" s="11"/>
      <c r="D250" s="12"/>
      <c r="E250" s="6"/>
      <c r="F250" s="13"/>
      <c r="G250" s="9"/>
      <c r="H250" s="7"/>
      <c r="I250" s="7"/>
    </row>
    <row r="251" spans="1:9" x14ac:dyDescent="0.25">
      <c r="A251" s="23" t="str">
        <f t="shared" si="6"/>
        <v>Please select an account</v>
      </c>
      <c r="B251" s="24" t="str">
        <f t="shared" si="7"/>
        <v>Please enter a date</v>
      </c>
      <c r="C251" s="11"/>
      <c r="D251" s="12"/>
      <c r="E251" s="6"/>
      <c r="F251" s="13"/>
      <c r="G251" s="9"/>
      <c r="H251" s="7"/>
      <c r="I251" s="7"/>
    </row>
    <row r="252" spans="1:9" x14ac:dyDescent="0.25">
      <c r="A252" s="23" t="str">
        <f t="shared" si="6"/>
        <v>Please select an account</v>
      </c>
      <c r="B252" s="24" t="str">
        <f t="shared" si="7"/>
        <v>Please enter a date</v>
      </c>
      <c r="C252" s="11"/>
      <c r="D252" s="12"/>
      <c r="E252" s="6"/>
      <c r="F252" s="13"/>
      <c r="G252" s="9"/>
      <c r="H252" s="7"/>
      <c r="I252" s="7"/>
    </row>
    <row r="253" spans="1:9" x14ac:dyDescent="0.25">
      <c r="A253" s="23" t="str">
        <f t="shared" si="6"/>
        <v>Please select an account</v>
      </c>
      <c r="B253" s="24" t="str">
        <f t="shared" si="7"/>
        <v>Please enter a date</v>
      </c>
      <c r="C253" s="11"/>
      <c r="D253" s="12"/>
      <c r="E253" s="6"/>
      <c r="F253" s="13"/>
      <c r="G253" s="9"/>
      <c r="H253" s="7"/>
      <c r="I253" s="7"/>
    </row>
    <row r="254" spans="1:9" x14ac:dyDescent="0.25">
      <c r="A254" s="23" t="str">
        <f t="shared" si="6"/>
        <v>Please select an account</v>
      </c>
      <c r="B254" s="24" t="str">
        <f t="shared" si="7"/>
        <v>Please enter a date</v>
      </c>
      <c r="C254" s="11"/>
      <c r="D254" s="12"/>
      <c r="E254" s="6"/>
      <c r="F254" s="13"/>
      <c r="G254" s="9"/>
      <c r="H254" s="7"/>
      <c r="I254" s="7"/>
    </row>
    <row r="255" spans="1:9" x14ac:dyDescent="0.25">
      <c r="A255" s="23" t="str">
        <f t="shared" si="6"/>
        <v>Please select an account</v>
      </c>
      <c r="B255" s="24" t="str">
        <f t="shared" si="7"/>
        <v>Please enter a date</v>
      </c>
      <c r="C255" s="11"/>
      <c r="D255" s="12"/>
      <c r="E255" s="6"/>
      <c r="F255" s="13"/>
      <c r="G255" s="9"/>
      <c r="H255" s="7"/>
      <c r="I255" s="7"/>
    </row>
    <row r="256" spans="1:9" x14ac:dyDescent="0.25">
      <c r="A256" s="23" t="str">
        <f t="shared" si="6"/>
        <v>Please select an account</v>
      </c>
      <c r="B256" s="24" t="str">
        <f t="shared" si="7"/>
        <v>Please enter a date</v>
      </c>
      <c r="C256" s="11"/>
      <c r="D256" s="12"/>
      <c r="E256" s="6"/>
      <c r="F256" s="13"/>
      <c r="G256" s="9"/>
      <c r="H256" s="7"/>
      <c r="I256" s="7"/>
    </row>
    <row r="257" spans="1:9" x14ac:dyDescent="0.25">
      <c r="A257" s="23" t="str">
        <f t="shared" si="6"/>
        <v>Please select an account</v>
      </c>
      <c r="B257" s="24" t="str">
        <f t="shared" si="7"/>
        <v>Please enter a date</v>
      </c>
      <c r="C257" s="11"/>
      <c r="D257" s="12"/>
      <c r="E257" s="6"/>
      <c r="F257" s="13"/>
      <c r="G257" s="9"/>
      <c r="H257" s="7"/>
      <c r="I257" s="7"/>
    </row>
    <row r="258" spans="1:9" x14ac:dyDescent="0.25">
      <c r="A258" s="23" t="str">
        <f t="shared" si="6"/>
        <v>Please select an account</v>
      </c>
      <c r="B258" s="24" t="str">
        <f t="shared" si="7"/>
        <v>Please enter a date</v>
      </c>
      <c r="C258" s="11"/>
      <c r="D258" s="12"/>
      <c r="E258" s="6"/>
      <c r="F258" s="13"/>
      <c r="G258" s="9"/>
      <c r="H258" s="7"/>
      <c r="I258" s="7"/>
    </row>
    <row r="259" spans="1:9" x14ac:dyDescent="0.25">
      <c r="A259" s="23" t="str">
        <f t="shared" si="6"/>
        <v>Please select an account</v>
      </c>
      <c r="B259" s="24" t="str">
        <f t="shared" si="7"/>
        <v>Please enter a date</v>
      </c>
      <c r="C259" s="11"/>
      <c r="D259" s="12"/>
      <c r="E259" s="6"/>
      <c r="F259" s="13"/>
      <c r="G259" s="9"/>
      <c r="H259" s="7"/>
      <c r="I259" s="7"/>
    </row>
    <row r="260" spans="1:9" x14ac:dyDescent="0.25">
      <c r="A260" s="23" t="str">
        <f t="shared" si="6"/>
        <v>Please select an account</v>
      </c>
      <c r="B260" s="24" t="str">
        <f t="shared" si="7"/>
        <v>Please enter a date</v>
      </c>
      <c r="C260" s="11"/>
      <c r="D260" s="12"/>
      <c r="E260" s="6"/>
      <c r="F260" s="13"/>
      <c r="G260" s="9"/>
      <c r="H260" s="7"/>
      <c r="I260" s="7"/>
    </row>
    <row r="261" spans="1:9" x14ac:dyDescent="0.25">
      <c r="A261" s="23" t="str">
        <f t="shared" si="6"/>
        <v>Please select an account</v>
      </c>
      <c r="B261" s="24" t="str">
        <f t="shared" si="7"/>
        <v>Please enter a date</v>
      </c>
      <c r="C261" s="11"/>
      <c r="D261" s="12"/>
      <c r="E261" s="6"/>
      <c r="F261" s="13"/>
      <c r="G261" s="9"/>
      <c r="H261" s="7"/>
      <c r="I261" s="7"/>
    </row>
    <row r="262" spans="1:9" x14ac:dyDescent="0.25">
      <c r="A262" s="23" t="str">
        <f t="shared" ref="A262:A325" si="8">IF($A$2=0,"Please select an account",$A$2)</f>
        <v>Please select an account</v>
      </c>
      <c r="B262" s="24" t="str">
        <f t="shared" ref="B262:B325" si="9">IF(TEXT($B$2,"YYYY-MM-DD")&lt;&gt;"1900-01-00",TEXT($B$2,"YYYY-MM-DD"),"Please enter a date")</f>
        <v>Please enter a date</v>
      </c>
      <c r="C262" s="11"/>
      <c r="D262" s="12"/>
      <c r="E262" s="6"/>
      <c r="F262" s="13"/>
      <c r="G262" s="9"/>
      <c r="H262" s="7"/>
      <c r="I262" s="7"/>
    </row>
    <row r="263" spans="1:9" x14ac:dyDescent="0.25">
      <c r="A263" s="23" t="str">
        <f t="shared" si="8"/>
        <v>Please select an account</v>
      </c>
      <c r="B263" s="24" t="str">
        <f t="shared" si="9"/>
        <v>Please enter a date</v>
      </c>
      <c r="C263" s="11"/>
      <c r="D263" s="12"/>
      <c r="E263" s="6"/>
      <c r="F263" s="13"/>
      <c r="G263" s="9"/>
      <c r="H263" s="7"/>
      <c r="I263" s="7"/>
    </row>
    <row r="264" spans="1:9" x14ac:dyDescent="0.25">
      <c r="A264" s="23" t="str">
        <f t="shared" si="8"/>
        <v>Please select an account</v>
      </c>
      <c r="B264" s="24" t="str">
        <f t="shared" si="9"/>
        <v>Please enter a date</v>
      </c>
      <c r="C264" s="11"/>
      <c r="D264" s="12"/>
      <c r="E264" s="6"/>
      <c r="F264" s="13"/>
      <c r="G264" s="9"/>
      <c r="H264" s="7"/>
      <c r="I264" s="7"/>
    </row>
    <row r="265" spans="1:9" x14ac:dyDescent="0.25">
      <c r="A265" s="23" t="str">
        <f t="shared" si="8"/>
        <v>Please select an account</v>
      </c>
      <c r="B265" s="24" t="str">
        <f t="shared" si="9"/>
        <v>Please enter a date</v>
      </c>
      <c r="C265" s="11"/>
      <c r="D265" s="12"/>
      <c r="E265" s="6"/>
      <c r="F265" s="13"/>
      <c r="G265" s="9"/>
      <c r="H265" s="7"/>
      <c r="I265" s="7"/>
    </row>
    <row r="266" spans="1:9" x14ac:dyDescent="0.25">
      <c r="A266" s="23" t="str">
        <f t="shared" si="8"/>
        <v>Please select an account</v>
      </c>
      <c r="B266" s="24" t="str">
        <f t="shared" si="9"/>
        <v>Please enter a date</v>
      </c>
      <c r="C266" s="11"/>
      <c r="D266" s="12"/>
      <c r="E266" s="6"/>
      <c r="F266" s="13"/>
      <c r="G266" s="9"/>
      <c r="H266" s="7"/>
      <c r="I266" s="7"/>
    </row>
    <row r="267" spans="1:9" x14ac:dyDescent="0.25">
      <c r="A267" s="23" t="str">
        <f t="shared" si="8"/>
        <v>Please select an account</v>
      </c>
      <c r="B267" s="24" t="str">
        <f t="shared" si="9"/>
        <v>Please enter a date</v>
      </c>
      <c r="C267" s="11"/>
      <c r="D267" s="12"/>
      <c r="E267" s="6"/>
      <c r="F267" s="13"/>
      <c r="G267" s="9"/>
      <c r="H267" s="7"/>
      <c r="I267" s="7"/>
    </row>
    <row r="268" spans="1:9" x14ac:dyDescent="0.25">
      <c r="A268" s="23" t="str">
        <f t="shared" si="8"/>
        <v>Please select an account</v>
      </c>
      <c r="B268" s="24" t="str">
        <f t="shared" si="9"/>
        <v>Please enter a date</v>
      </c>
      <c r="C268" s="11"/>
      <c r="D268" s="12"/>
      <c r="E268" s="6"/>
      <c r="F268" s="13"/>
      <c r="G268" s="9"/>
      <c r="H268" s="7"/>
      <c r="I268" s="7"/>
    </row>
    <row r="269" spans="1:9" x14ac:dyDescent="0.25">
      <c r="A269" s="23" t="str">
        <f t="shared" si="8"/>
        <v>Please select an account</v>
      </c>
      <c r="B269" s="24" t="str">
        <f t="shared" si="9"/>
        <v>Please enter a date</v>
      </c>
      <c r="C269" s="11"/>
      <c r="D269" s="12"/>
      <c r="E269" s="6"/>
      <c r="F269" s="13"/>
      <c r="G269" s="9"/>
      <c r="H269" s="7"/>
      <c r="I269" s="7"/>
    </row>
    <row r="270" spans="1:9" x14ac:dyDescent="0.25">
      <c r="A270" s="23" t="str">
        <f t="shared" si="8"/>
        <v>Please select an account</v>
      </c>
      <c r="B270" s="24" t="str">
        <f t="shared" si="9"/>
        <v>Please enter a date</v>
      </c>
      <c r="C270" s="11"/>
      <c r="D270" s="12"/>
      <c r="E270" s="6"/>
      <c r="F270" s="13"/>
      <c r="G270" s="9"/>
      <c r="H270" s="7"/>
      <c r="I270" s="7"/>
    </row>
    <row r="271" spans="1:9" x14ac:dyDescent="0.25">
      <c r="A271" s="23" t="str">
        <f t="shared" si="8"/>
        <v>Please select an account</v>
      </c>
      <c r="B271" s="24" t="str">
        <f t="shared" si="9"/>
        <v>Please enter a date</v>
      </c>
      <c r="C271" s="11"/>
      <c r="D271" s="12"/>
      <c r="E271" s="6"/>
      <c r="F271" s="13"/>
      <c r="G271" s="9"/>
      <c r="H271" s="7"/>
      <c r="I271" s="7"/>
    </row>
    <row r="272" spans="1:9" x14ac:dyDescent="0.25">
      <c r="A272" s="23" t="str">
        <f t="shared" si="8"/>
        <v>Please select an account</v>
      </c>
      <c r="B272" s="24" t="str">
        <f t="shared" si="9"/>
        <v>Please enter a date</v>
      </c>
      <c r="C272" s="11"/>
      <c r="D272" s="12"/>
      <c r="E272" s="6"/>
      <c r="F272" s="13"/>
      <c r="G272" s="9"/>
      <c r="H272" s="7"/>
      <c r="I272" s="7"/>
    </row>
    <row r="273" spans="1:9" x14ac:dyDescent="0.25">
      <c r="A273" s="23" t="str">
        <f t="shared" si="8"/>
        <v>Please select an account</v>
      </c>
      <c r="B273" s="24" t="str">
        <f t="shared" si="9"/>
        <v>Please enter a date</v>
      </c>
      <c r="C273" s="11"/>
      <c r="D273" s="12"/>
      <c r="E273" s="6"/>
      <c r="F273" s="13"/>
      <c r="G273" s="9"/>
      <c r="H273" s="7"/>
      <c r="I273" s="7"/>
    </row>
    <row r="274" spans="1:9" x14ac:dyDescent="0.25">
      <c r="A274" s="23" t="str">
        <f t="shared" si="8"/>
        <v>Please select an account</v>
      </c>
      <c r="B274" s="24" t="str">
        <f t="shared" si="9"/>
        <v>Please enter a date</v>
      </c>
      <c r="C274" s="11"/>
      <c r="D274" s="12"/>
      <c r="E274" s="6"/>
      <c r="F274" s="13"/>
      <c r="G274" s="9"/>
      <c r="H274" s="7"/>
      <c r="I274" s="7"/>
    </row>
    <row r="275" spans="1:9" x14ac:dyDescent="0.25">
      <c r="A275" s="23" t="str">
        <f t="shared" si="8"/>
        <v>Please select an account</v>
      </c>
      <c r="B275" s="24" t="str">
        <f t="shared" si="9"/>
        <v>Please enter a date</v>
      </c>
      <c r="C275" s="11"/>
      <c r="D275" s="12"/>
      <c r="E275" s="6"/>
      <c r="F275" s="13"/>
      <c r="G275" s="9"/>
      <c r="H275" s="7"/>
      <c r="I275" s="7"/>
    </row>
    <row r="276" spans="1:9" x14ac:dyDescent="0.25">
      <c r="A276" s="23" t="str">
        <f t="shared" si="8"/>
        <v>Please select an account</v>
      </c>
      <c r="B276" s="24" t="str">
        <f t="shared" si="9"/>
        <v>Please enter a date</v>
      </c>
      <c r="C276" s="11"/>
      <c r="D276" s="12"/>
      <c r="E276" s="6"/>
      <c r="F276" s="13"/>
      <c r="G276" s="9"/>
      <c r="H276" s="7"/>
      <c r="I276" s="7"/>
    </row>
    <row r="277" spans="1:9" x14ac:dyDescent="0.25">
      <c r="A277" s="23" t="str">
        <f t="shared" si="8"/>
        <v>Please select an account</v>
      </c>
      <c r="B277" s="24" t="str">
        <f t="shared" si="9"/>
        <v>Please enter a date</v>
      </c>
      <c r="C277" s="11"/>
      <c r="D277" s="12"/>
      <c r="E277" s="6"/>
      <c r="F277" s="13"/>
      <c r="G277" s="9"/>
      <c r="H277" s="7"/>
      <c r="I277" s="7"/>
    </row>
    <row r="278" spans="1:9" x14ac:dyDescent="0.25">
      <c r="A278" s="23" t="str">
        <f t="shared" si="8"/>
        <v>Please select an account</v>
      </c>
      <c r="B278" s="24" t="str">
        <f t="shared" si="9"/>
        <v>Please enter a date</v>
      </c>
      <c r="C278" s="11"/>
      <c r="D278" s="12"/>
      <c r="E278" s="6"/>
      <c r="F278" s="13"/>
      <c r="G278" s="9"/>
      <c r="H278" s="7"/>
      <c r="I278" s="7"/>
    </row>
    <row r="279" spans="1:9" x14ac:dyDescent="0.25">
      <c r="A279" s="23" t="str">
        <f t="shared" si="8"/>
        <v>Please select an account</v>
      </c>
      <c r="B279" s="24" t="str">
        <f t="shared" si="9"/>
        <v>Please enter a date</v>
      </c>
      <c r="C279" s="11"/>
      <c r="D279" s="12"/>
      <c r="E279" s="6"/>
      <c r="F279" s="13"/>
      <c r="G279" s="9"/>
      <c r="H279" s="7"/>
      <c r="I279" s="7"/>
    </row>
    <row r="280" spans="1:9" x14ac:dyDescent="0.25">
      <c r="A280" s="23" t="str">
        <f t="shared" si="8"/>
        <v>Please select an account</v>
      </c>
      <c r="B280" s="24" t="str">
        <f t="shared" si="9"/>
        <v>Please enter a date</v>
      </c>
      <c r="C280" s="11"/>
      <c r="D280" s="12"/>
      <c r="E280" s="6"/>
      <c r="F280" s="13"/>
      <c r="G280" s="9"/>
      <c r="H280" s="7"/>
      <c r="I280" s="7"/>
    </row>
    <row r="281" spans="1:9" x14ac:dyDescent="0.25">
      <c r="A281" s="23" t="str">
        <f t="shared" si="8"/>
        <v>Please select an account</v>
      </c>
      <c r="B281" s="24" t="str">
        <f t="shared" si="9"/>
        <v>Please enter a date</v>
      </c>
      <c r="C281" s="11"/>
      <c r="D281" s="12"/>
      <c r="E281" s="6"/>
      <c r="F281" s="13"/>
      <c r="G281" s="9"/>
      <c r="H281" s="7"/>
      <c r="I281" s="7"/>
    </row>
    <row r="282" spans="1:9" x14ac:dyDescent="0.25">
      <c r="A282" s="23" t="str">
        <f t="shared" si="8"/>
        <v>Please select an account</v>
      </c>
      <c r="B282" s="24" t="str">
        <f t="shared" si="9"/>
        <v>Please enter a date</v>
      </c>
      <c r="C282" s="11"/>
      <c r="D282" s="12"/>
      <c r="E282" s="6"/>
      <c r="F282" s="13"/>
      <c r="G282" s="9"/>
      <c r="H282" s="7"/>
      <c r="I282" s="7"/>
    </row>
    <row r="283" spans="1:9" x14ac:dyDescent="0.25">
      <c r="A283" s="23" t="str">
        <f t="shared" si="8"/>
        <v>Please select an account</v>
      </c>
      <c r="B283" s="24" t="str">
        <f t="shared" si="9"/>
        <v>Please enter a date</v>
      </c>
      <c r="C283" s="11"/>
      <c r="D283" s="12"/>
      <c r="E283" s="6"/>
      <c r="F283" s="13"/>
      <c r="G283" s="9"/>
      <c r="H283" s="7"/>
      <c r="I283" s="7"/>
    </row>
    <row r="284" spans="1:9" x14ac:dyDescent="0.25">
      <c r="A284" s="23" t="str">
        <f t="shared" si="8"/>
        <v>Please select an account</v>
      </c>
      <c r="B284" s="24" t="str">
        <f t="shared" si="9"/>
        <v>Please enter a date</v>
      </c>
      <c r="C284" s="11"/>
      <c r="D284" s="12"/>
      <c r="E284" s="6"/>
      <c r="F284" s="13"/>
      <c r="G284" s="9"/>
      <c r="H284" s="7"/>
      <c r="I284" s="7"/>
    </row>
    <row r="285" spans="1:9" x14ac:dyDescent="0.25">
      <c r="A285" s="23" t="str">
        <f t="shared" si="8"/>
        <v>Please select an account</v>
      </c>
      <c r="B285" s="24" t="str">
        <f t="shared" si="9"/>
        <v>Please enter a date</v>
      </c>
      <c r="C285" s="11"/>
      <c r="D285" s="12"/>
      <c r="E285" s="6"/>
      <c r="F285" s="13"/>
      <c r="G285" s="9"/>
      <c r="H285" s="7"/>
      <c r="I285" s="7"/>
    </row>
    <row r="286" spans="1:9" x14ac:dyDescent="0.25">
      <c r="A286" s="23" t="str">
        <f t="shared" si="8"/>
        <v>Please select an account</v>
      </c>
      <c r="B286" s="24" t="str">
        <f t="shared" si="9"/>
        <v>Please enter a date</v>
      </c>
      <c r="C286" s="11"/>
      <c r="D286" s="12"/>
      <c r="E286" s="6"/>
      <c r="F286" s="13"/>
      <c r="G286" s="9"/>
      <c r="H286" s="7"/>
      <c r="I286" s="7"/>
    </row>
    <row r="287" spans="1:9" x14ac:dyDescent="0.25">
      <c r="A287" s="23" t="str">
        <f t="shared" si="8"/>
        <v>Please select an account</v>
      </c>
      <c r="B287" s="24" t="str">
        <f t="shared" si="9"/>
        <v>Please enter a date</v>
      </c>
      <c r="C287" s="11"/>
      <c r="D287" s="12"/>
      <c r="E287" s="6"/>
      <c r="F287" s="13"/>
      <c r="G287" s="9"/>
      <c r="H287" s="7"/>
      <c r="I287" s="7"/>
    </row>
    <row r="288" spans="1:9" x14ac:dyDescent="0.25">
      <c r="A288" s="23" t="str">
        <f t="shared" si="8"/>
        <v>Please select an account</v>
      </c>
      <c r="B288" s="24" t="str">
        <f t="shared" si="9"/>
        <v>Please enter a date</v>
      </c>
      <c r="C288" s="11"/>
      <c r="D288" s="12"/>
      <c r="E288" s="6"/>
      <c r="F288" s="13"/>
      <c r="G288" s="9"/>
      <c r="H288" s="7"/>
      <c r="I288" s="7"/>
    </row>
    <row r="289" spans="1:9" x14ac:dyDescent="0.25">
      <c r="A289" s="23" t="str">
        <f t="shared" si="8"/>
        <v>Please select an account</v>
      </c>
      <c r="B289" s="24" t="str">
        <f t="shared" si="9"/>
        <v>Please enter a date</v>
      </c>
      <c r="C289" s="11"/>
      <c r="D289" s="12"/>
      <c r="E289" s="6"/>
      <c r="F289" s="13"/>
      <c r="G289" s="9"/>
      <c r="H289" s="7"/>
      <c r="I289" s="7"/>
    </row>
    <row r="290" spans="1:9" x14ac:dyDescent="0.25">
      <c r="A290" s="23" t="str">
        <f t="shared" si="8"/>
        <v>Please select an account</v>
      </c>
      <c r="B290" s="24" t="str">
        <f t="shared" si="9"/>
        <v>Please enter a date</v>
      </c>
      <c r="C290" s="11"/>
      <c r="D290" s="12"/>
      <c r="E290" s="6"/>
      <c r="F290" s="13"/>
      <c r="G290" s="9"/>
      <c r="H290" s="7"/>
      <c r="I290" s="7"/>
    </row>
    <row r="291" spans="1:9" x14ac:dyDescent="0.25">
      <c r="A291" s="23" t="str">
        <f t="shared" si="8"/>
        <v>Please select an account</v>
      </c>
      <c r="B291" s="24" t="str">
        <f t="shared" si="9"/>
        <v>Please enter a date</v>
      </c>
      <c r="C291" s="11"/>
      <c r="D291" s="12"/>
      <c r="E291" s="6"/>
      <c r="F291" s="13"/>
      <c r="G291" s="9"/>
      <c r="H291" s="7"/>
      <c r="I291" s="7"/>
    </row>
    <row r="292" spans="1:9" x14ac:dyDescent="0.25">
      <c r="A292" s="23" t="str">
        <f t="shared" si="8"/>
        <v>Please select an account</v>
      </c>
      <c r="B292" s="24" t="str">
        <f t="shared" si="9"/>
        <v>Please enter a date</v>
      </c>
      <c r="C292" s="11"/>
      <c r="D292" s="12"/>
      <c r="E292" s="6"/>
      <c r="F292" s="13"/>
      <c r="G292" s="9"/>
      <c r="H292" s="7"/>
      <c r="I292" s="7"/>
    </row>
    <row r="293" spans="1:9" x14ac:dyDescent="0.25">
      <c r="A293" s="23" t="str">
        <f t="shared" si="8"/>
        <v>Please select an account</v>
      </c>
      <c r="B293" s="24" t="str">
        <f t="shared" si="9"/>
        <v>Please enter a date</v>
      </c>
      <c r="C293" s="11"/>
      <c r="D293" s="12"/>
      <c r="E293" s="6"/>
      <c r="F293" s="13"/>
      <c r="G293" s="9"/>
      <c r="H293" s="7"/>
      <c r="I293" s="7"/>
    </row>
    <row r="294" spans="1:9" x14ac:dyDescent="0.25">
      <c r="A294" s="23" t="str">
        <f t="shared" si="8"/>
        <v>Please select an account</v>
      </c>
      <c r="B294" s="24" t="str">
        <f t="shared" si="9"/>
        <v>Please enter a date</v>
      </c>
      <c r="C294" s="11"/>
      <c r="D294" s="12"/>
      <c r="E294" s="6"/>
      <c r="F294" s="13"/>
      <c r="G294" s="9"/>
      <c r="H294" s="7"/>
      <c r="I294" s="7"/>
    </row>
    <row r="295" spans="1:9" x14ac:dyDescent="0.25">
      <c r="A295" s="23" t="str">
        <f t="shared" si="8"/>
        <v>Please select an account</v>
      </c>
      <c r="B295" s="24" t="str">
        <f t="shared" si="9"/>
        <v>Please enter a date</v>
      </c>
      <c r="C295" s="11"/>
      <c r="D295" s="12"/>
      <c r="E295" s="6"/>
      <c r="F295" s="13"/>
      <c r="G295" s="9"/>
      <c r="H295" s="7"/>
      <c r="I295" s="7"/>
    </row>
    <row r="296" spans="1:9" x14ac:dyDescent="0.25">
      <c r="A296" s="23" t="str">
        <f t="shared" si="8"/>
        <v>Please select an account</v>
      </c>
      <c r="B296" s="24" t="str">
        <f t="shared" si="9"/>
        <v>Please enter a date</v>
      </c>
      <c r="C296" s="11"/>
      <c r="D296" s="12"/>
      <c r="E296" s="6"/>
      <c r="F296" s="13"/>
      <c r="G296" s="9"/>
      <c r="H296" s="7"/>
      <c r="I296" s="7"/>
    </row>
    <row r="297" spans="1:9" x14ac:dyDescent="0.25">
      <c r="A297" s="23" t="str">
        <f t="shared" si="8"/>
        <v>Please select an account</v>
      </c>
      <c r="B297" s="24" t="str">
        <f t="shared" si="9"/>
        <v>Please enter a date</v>
      </c>
      <c r="C297" s="11"/>
      <c r="D297" s="12"/>
      <c r="E297" s="6"/>
      <c r="F297" s="13"/>
      <c r="G297" s="9"/>
      <c r="H297" s="7"/>
      <c r="I297" s="7"/>
    </row>
    <row r="298" spans="1:9" x14ac:dyDescent="0.25">
      <c r="A298" s="23" t="str">
        <f t="shared" si="8"/>
        <v>Please select an account</v>
      </c>
      <c r="B298" s="24" t="str">
        <f t="shared" si="9"/>
        <v>Please enter a date</v>
      </c>
      <c r="C298" s="11"/>
      <c r="D298" s="12"/>
      <c r="E298" s="6"/>
      <c r="F298" s="13"/>
      <c r="G298" s="9"/>
      <c r="H298" s="7"/>
      <c r="I298" s="7"/>
    </row>
    <row r="299" spans="1:9" x14ac:dyDescent="0.25">
      <c r="A299" s="23" t="str">
        <f t="shared" si="8"/>
        <v>Please select an account</v>
      </c>
      <c r="B299" s="24" t="str">
        <f t="shared" si="9"/>
        <v>Please enter a date</v>
      </c>
      <c r="C299" s="11"/>
      <c r="D299" s="12"/>
      <c r="E299" s="6"/>
      <c r="F299" s="13"/>
      <c r="G299" s="9"/>
      <c r="H299" s="7"/>
      <c r="I299" s="7"/>
    </row>
    <row r="300" spans="1:9" x14ac:dyDescent="0.25">
      <c r="A300" s="23" t="str">
        <f t="shared" si="8"/>
        <v>Please select an account</v>
      </c>
      <c r="B300" s="24" t="str">
        <f t="shared" si="9"/>
        <v>Please enter a date</v>
      </c>
      <c r="C300" s="11"/>
      <c r="D300" s="12"/>
      <c r="E300" s="6"/>
      <c r="F300" s="13"/>
      <c r="G300" s="9"/>
      <c r="H300" s="7"/>
      <c r="I300" s="7"/>
    </row>
    <row r="301" spans="1:9" x14ac:dyDescent="0.25">
      <c r="A301" s="23" t="str">
        <f t="shared" si="8"/>
        <v>Please select an account</v>
      </c>
      <c r="B301" s="24" t="str">
        <f t="shared" si="9"/>
        <v>Please enter a date</v>
      </c>
      <c r="C301" s="11"/>
      <c r="D301" s="12"/>
      <c r="E301" s="6"/>
      <c r="F301" s="13"/>
      <c r="G301" s="9"/>
      <c r="H301" s="7"/>
      <c r="I301" s="7"/>
    </row>
    <row r="302" spans="1:9" x14ac:dyDescent="0.25">
      <c r="A302" s="23" t="str">
        <f t="shared" si="8"/>
        <v>Please select an account</v>
      </c>
      <c r="B302" s="24" t="str">
        <f t="shared" si="9"/>
        <v>Please enter a date</v>
      </c>
      <c r="C302" s="11"/>
      <c r="D302" s="12"/>
      <c r="E302" s="6"/>
      <c r="F302" s="13"/>
      <c r="G302" s="9"/>
      <c r="H302" s="7"/>
      <c r="I302" s="7"/>
    </row>
    <row r="303" spans="1:9" x14ac:dyDescent="0.25">
      <c r="A303" s="23" t="str">
        <f t="shared" si="8"/>
        <v>Please select an account</v>
      </c>
      <c r="B303" s="24" t="str">
        <f t="shared" si="9"/>
        <v>Please enter a date</v>
      </c>
      <c r="C303" s="11"/>
      <c r="D303" s="12"/>
      <c r="E303" s="6"/>
      <c r="F303" s="13"/>
      <c r="G303" s="9"/>
      <c r="H303" s="7"/>
      <c r="I303" s="7"/>
    </row>
    <row r="304" spans="1:9" x14ac:dyDescent="0.25">
      <c r="A304" s="23" t="str">
        <f t="shared" si="8"/>
        <v>Please select an account</v>
      </c>
      <c r="B304" s="24" t="str">
        <f t="shared" si="9"/>
        <v>Please enter a date</v>
      </c>
      <c r="C304" s="11"/>
      <c r="D304" s="12"/>
      <c r="E304" s="6"/>
      <c r="F304" s="13"/>
      <c r="G304" s="9"/>
      <c r="H304" s="7"/>
      <c r="I304" s="7"/>
    </row>
    <row r="305" spans="1:9" x14ac:dyDescent="0.25">
      <c r="A305" s="23" t="str">
        <f t="shared" si="8"/>
        <v>Please select an account</v>
      </c>
      <c r="B305" s="24" t="str">
        <f t="shared" si="9"/>
        <v>Please enter a date</v>
      </c>
      <c r="C305" s="11"/>
      <c r="D305" s="12"/>
      <c r="E305" s="6"/>
      <c r="F305" s="13"/>
      <c r="G305" s="9"/>
      <c r="H305" s="7"/>
      <c r="I305" s="7"/>
    </row>
    <row r="306" spans="1:9" x14ac:dyDescent="0.25">
      <c r="A306" s="23" t="str">
        <f t="shared" si="8"/>
        <v>Please select an account</v>
      </c>
      <c r="B306" s="24" t="str">
        <f t="shared" si="9"/>
        <v>Please enter a date</v>
      </c>
      <c r="C306" s="11"/>
      <c r="D306" s="12"/>
      <c r="E306" s="6"/>
      <c r="F306" s="13"/>
      <c r="G306" s="9"/>
      <c r="H306" s="7"/>
      <c r="I306" s="7"/>
    </row>
    <row r="307" spans="1:9" x14ac:dyDescent="0.25">
      <c r="A307" s="23" t="str">
        <f t="shared" si="8"/>
        <v>Please select an account</v>
      </c>
      <c r="B307" s="24" t="str">
        <f t="shared" si="9"/>
        <v>Please enter a date</v>
      </c>
      <c r="C307" s="11"/>
      <c r="D307" s="12"/>
      <c r="E307" s="6"/>
      <c r="F307" s="13"/>
      <c r="G307" s="9"/>
      <c r="H307" s="7"/>
      <c r="I307" s="7"/>
    </row>
    <row r="308" spans="1:9" x14ac:dyDescent="0.25">
      <c r="A308" s="23" t="str">
        <f t="shared" si="8"/>
        <v>Please select an account</v>
      </c>
      <c r="B308" s="24" t="str">
        <f t="shared" si="9"/>
        <v>Please enter a date</v>
      </c>
      <c r="C308" s="11"/>
      <c r="D308" s="12"/>
      <c r="E308" s="6"/>
      <c r="F308" s="13"/>
      <c r="G308" s="9"/>
      <c r="H308" s="7"/>
      <c r="I308" s="7"/>
    </row>
    <row r="309" spans="1:9" x14ac:dyDescent="0.25">
      <c r="A309" s="23" t="str">
        <f t="shared" si="8"/>
        <v>Please select an account</v>
      </c>
      <c r="B309" s="24" t="str">
        <f t="shared" si="9"/>
        <v>Please enter a date</v>
      </c>
      <c r="C309" s="11"/>
      <c r="D309" s="12"/>
      <c r="E309" s="6"/>
      <c r="F309" s="13"/>
      <c r="G309" s="9"/>
      <c r="H309" s="7"/>
      <c r="I309" s="7"/>
    </row>
    <row r="310" spans="1:9" x14ac:dyDescent="0.25">
      <c r="A310" s="23" t="str">
        <f t="shared" si="8"/>
        <v>Please select an account</v>
      </c>
      <c r="B310" s="24" t="str">
        <f t="shared" si="9"/>
        <v>Please enter a date</v>
      </c>
      <c r="C310" s="11"/>
      <c r="D310" s="12"/>
      <c r="E310" s="6"/>
      <c r="F310" s="13"/>
      <c r="G310" s="9"/>
      <c r="H310" s="7"/>
      <c r="I310" s="7"/>
    </row>
    <row r="311" spans="1:9" x14ac:dyDescent="0.25">
      <c r="A311" s="23" t="str">
        <f t="shared" si="8"/>
        <v>Please select an account</v>
      </c>
      <c r="B311" s="24" t="str">
        <f t="shared" si="9"/>
        <v>Please enter a date</v>
      </c>
      <c r="C311" s="11"/>
      <c r="D311" s="12"/>
      <c r="E311" s="6"/>
      <c r="F311" s="13"/>
      <c r="G311" s="9"/>
      <c r="H311" s="7"/>
      <c r="I311" s="7"/>
    </row>
    <row r="312" spans="1:9" x14ac:dyDescent="0.25">
      <c r="A312" s="23" t="str">
        <f t="shared" si="8"/>
        <v>Please select an account</v>
      </c>
      <c r="B312" s="24" t="str">
        <f t="shared" si="9"/>
        <v>Please enter a date</v>
      </c>
      <c r="C312" s="11"/>
      <c r="D312" s="12"/>
      <c r="E312" s="6"/>
      <c r="F312" s="13"/>
      <c r="G312" s="9"/>
      <c r="H312" s="7"/>
      <c r="I312" s="7"/>
    </row>
    <row r="313" spans="1:9" x14ac:dyDescent="0.25">
      <c r="A313" s="23" t="str">
        <f t="shared" si="8"/>
        <v>Please select an account</v>
      </c>
      <c r="B313" s="24" t="str">
        <f t="shared" si="9"/>
        <v>Please enter a date</v>
      </c>
      <c r="C313" s="11"/>
      <c r="D313" s="12"/>
      <c r="E313" s="6"/>
      <c r="F313" s="13"/>
      <c r="G313" s="9"/>
      <c r="H313" s="7"/>
      <c r="I313" s="7"/>
    </row>
    <row r="314" spans="1:9" x14ac:dyDescent="0.25">
      <c r="A314" s="23" t="str">
        <f t="shared" si="8"/>
        <v>Please select an account</v>
      </c>
      <c r="B314" s="24" t="str">
        <f t="shared" si="9"/>
        <v>Please enter a date</v>
      </c>
      <c r="C314" s="11"/>
      <c r="D314" s="12"/>
      <c r="E314" s="6"/>
      <c r="F314" s="13"/>
      <c r="G314" s="9"/>
      <c r="H314" s="7"/>
      <c r="I314" s="7"/>
    </row>
    <row r="315" spans="1:9" x14ac:dyDescent="0.25">
      <c r="A315" s="23" t="str">
        <f t="shared" si="8"/>
        <v>Please select an account</v>
      </c>
      <c r="B315" s="24" t="str">
        <f t="shared" si="9"/>
        <v>Please enter a date</v>
      </c>
      <c r="C315" s="11"/>
      <c r="D315" s="12"/>
      <c r="E315" s="6"/>
      <c r="F315" s="13"/>
      <c r="G315" s="9"/>
      <c r="H315" s="7"/>
      <c r="I315" s="7"/>
    </row>
    <row r="316" spans="1:9" x14ac:dyDescent="0.25">
      <c r="A316" s="23" t="str">
        <f t="shared" si="8"/>
        <v>Please select an account</v>
      </c>
      <c r="B316" s="24" t="str">
        <f t="shared" si="9"/>
        <v>Please enter a date</v>
      </c>
      <c r="C316" s="11"/>
      <c r="D316" s="12"/>
      <c r="E316" s="6"/>
      <c r="F316" s="13"/>
      <c r="G316" s="9"/>
      <c r="H316" s="7"/>
      <c r="I316" s="7"/>
    </row>
    <row r="317" spans="1:9" x14ac:dyDescent="0.25">
      <c r="A317" s="23" t="str">
        <f t="shared" si="8"/>
        <v>Please select an account</v>
      </c>
      <c r="B317" s="24" t="str">
        <f t="shared" si="9"/>
        <v>Please enter a date</v>
      </c>
      <c r="C317" s="11"/>
      <c r="D317" s="12"/>
      <c r="E317" s="6"/>
      <c r="F317" s="13"/>
      <c r="G317" s="9"/>
      <c r="H317" s="7"/>
      <c r="I317" s="7"/>
    </row>
    <row r="318" spans="1:9" x14ac:dyDescent="0.25">
      <c r="A318" s="23" t="str">
        <f t="shared" si="8"/>
        <v>Please select an account</v>
      </c>
      <c r="B318" s="24" t="str">
        <f t="shared" si="9"/>
        <v>Please enter a date</v>
      </c>
      <c r="C318" s="11"/>
      <c r="D318" s="12"/>
      <c r="E318" s="6"/>
      <c r="F318" s="13"/>
      <c r="G318" s="9"/>
      <c r="H318" s="7"/>
      <c r="I318" s="7"/>
    </row>
    <row r="319" spans="1:9" x14ac:dyDescent="0.25">
      <c r="A319" s="23" t="str">
        <f t="shared" si="8"/>
        <v>Please select an account</v>
      </c>
      <c r="B319" s="24" t="str">
        <f t="shared" si="9"/>
        <v>Please enter a date</v>
      </c>
      <c r="C319" s="11"/>
      <c r="D319" s="12"/>
      <c r="E319" s="6"/>
      <c r="F319" s="13"/>
      <c r="G319" s="9"/>
      <c r="H319" s="7"/>
      <c r="I319" s="7"/>
    </row>
    <row r="320" spans="1:9" x14ac:dyDescent="0.25">
      <c r="A320" s="23" t="str">
        <f t="shared" si="8"/>
        <v>Please select an account</v>
      </c>
      <c r="B320" s="24" t="str">
        <f t="shared" si="9"/>
        <v>Please enter a date</v>
      </c>
      <c r="C320" s="11"/>
      <c r="D320" s="12"/>
      <c r="E320" s="6"/>
      <c r="F320" s="13"/>
      <c r="G320" s="9"/>
      <c r="H320" s="7"/>
      <c r="I320" s="7"/>
    </row>
    <row r="321" spans="1:9" x14ac:dyDescent="0.25">
      <c r="A321" s="23" t="str">
        <f t="shared" si="8"/>
        <v>Please select an account</v>
      </c>
      <c r="B321" s="24" t="str">
        <f t="shared" si="9"/>
        <v>Please enter a date</v>
      </c>
      <c r="C321" s="11"/>
      <c r="D321" s="12"/>
      <c r="E321" s="6"/>
      <c r="F321" s="13"/>
      <c r="G321" s="9"/>
      <c r="H321" s="7"/>
      <c r="I321" s="7"/>
    </row>
    <row r="322" spans="1:9" x14ac:dyDescent="0.25">
      <c r="A322" s="23" t="str">
        <f t="shared" si="8"/>
        <v>Please select an account</v>
      </c>
      <c r="B322" s="24" t="str">
        <f t="shared" si="9"/>
        <v>Please enter a date</v>
      </c>
      <c r="C322" s="11"/>
      <c r="D322" s="12"/>
      <c r="E322" s="6"/>
      <c r="F322" s="13"/>
      <c r="G322" s="9"/>
      <c r="H322" s="7"/>
      <c r="I322" s="7"/>
    </row>
    <row r="323" spans="1:9" x14ac:dyDescent="0.25">
      <c r="A323" s="23" t="str">
        <f t="shared" si="8"/>
        <v>Please select an account</v>
      </c>
      <c r="B323" s="24" t="str">
        <f t="shared" si="9"/>
        <v>Please enter a date</v>
      </c>
      <c r="C323" s="11"/>
      <c r="D323" s="12"/>
      <c r="E323" s="6"/>
      <c r="F323" s="13"/>
      <c r="G323" s="9"/>
      <c r="H323" s="7"/>
      <c r="I323" s="7"/>
    </row>
    <row r="324" spans="1:9" x14ac:dyDescent="0.25">
      <c r="A324" s="23" t="str">
        <f t="shared" si="8"/>
        <v>Please select an account</v>
      </c>
      <c r="B324" s="24" t="str">
        <f t="shared" si="9"/>
        <v>Please enter a date</v>
      </c>
      <c r="C324" s="11"/>
      <c r="D324" s="12"/>
      <c r="E324" s="6"/>
      <c r="F324" s="13"/>
      <c r="G324" s="9"/>
      <c r="H324" s="7"/>
      <c r="I324" s="7"/>
    </row>
    <row r="325" spans="1:9" x14ac:dyDescent="0.25">
      <c r="A325" s="23" t="str">
        <f t="shared" si="8"/>
        <v>Please select an account</v>
      </c>
      <c r="B325" s="24" t="str">
        <f t="shared" si="9"/>
        <v>Please enter a date</v>
      </c>
      <c r="C325" s="11"/>
      <c r="D325" s="12"/>
      <c r="E325" s="6"/>
      <c r="F325" s="13"/>
      <c r="G325" s="9"/>
      <c r="H325" s="7"/>
      <c r="I325" s="7"/>
    </row>
    <row r="326" spans="1:9" x14ac:dyDescent="0.25">
      <c r="A326" s="23" t="str">
        <f t="shared" ref="A326:A389" si="10">IF($A$2=0,"Please select an account",$A$2)</f>
        <v>Please select an account</v>
      </c>
      <c r="B326" s="24" t="str">
        <f t="shared" ref="B326:B389" si="11">IF(TEXT($B$2,"YYYY-MM-DD")&lt;&gt;"1900-01-00",TEXT($B$2,"YYYY-MM-DD"),"Please enter a date")</f>
        <v>Please enter a date</v>
      </c>
      <c r="C326" s="11"/>
      <c r="D326" s="12"/>
      <c r="E326" s="6"/>
      <c r="F326" s="13"/>
      <c r="G326" s="9"/>
      <c r="H326" s="7"/>
      <c r="I326" s="7"/>
    </row>
    <row r="327" spans="1:9" x14ac:dyDescent="0.25">
      <c r="A327" s="23" t="str">
        <f t="shared" si="10"/>
        <v>Please select an account</v>
      </c>
      <c r="B327" s="24" t="str">
        <f t="shared" si="11"/>
        <v>Please enter a date</v>
      </c>
      <c r="C327" s="11"/>
      <c r="D327" s="12"/>
      <c r="E327" s="6"/>
      <c r="F327" s="13"/>
      <c r="G327" s="9"/>
      <c r="H327" s="7"/>
      <c r="I327" s="7"/>
    </row>
    <row r="328" spans="1:9" x14ac:dyDescent="0.25">
      <c r="A328" s="23" t="str">
        <f t="shared" si="10"/>
        <v>Please select an account</v>
      </c>
      <c r="B328" s="24" t="str">
        <f t="shared" si="11"/>
        <v>Please enter a date</v>
      </c>
      <c r="C328" s="11"/>
      <c r="D328" s="12"/>
      <c r="E328" s="6"/>
      <c r="F328" s="13"/>
      <c r="G328" s="9"/>
      <c r="H328" s="7"/>
      <c r="I328" s="7"/>
    </row>
    <row r="329" spans="1:9" x14ac:dyDescent="0.25">
      <c r="A329" s="23" t="str">
        <f t="shared" si="10"/>
        <v>Please select an account</v>
      </c>
      <c r="B329" s="24" t="str">
        <f t="shared" si="11"/>
        <v>Please enter a date</v>
      </c>
      <c r="C329" s="11"/>
      <c r="D329" s="12"/>
      <c r="E329" s="6"/>
      <c r="F329" s="13"/>
      <c r="G329" s="9"/>
      <c r="H329" s="7"/>
      <c r="I329" s="7"/>
    </row>
    <row r="330" spans="1:9" x14ac:dyDescent="0.25">
      <c r="A330" s="23" t="str">
        <f t="shared" si="10"/>
        <v>Please select an account</v>
      </c>
      <c r="B330" s="24" t="str">
        <f t="shared" si="11"/>
        <v>Please enter a date</v>
      </c>
      <c r="C330" s="11"/>
      <c r="D330" s="12"/>
      <c r="E330" s="6"/>
      <c r="F330" s="13"/>
      <c r="G330" s="9"/>
      <c r="H330" s="7"/>
      <c r="I330" s="7"/>
    </row>
    <row r="331" spans="1:9" x14ac:dyDescent="0.25">
      <c r="A331" s="23" t="str">
        <f t="shared" si="10"/>
        <v>Please select an account</v>
      </c>
      <c r="B331" s="24" t="str">
        <f t="shared" si="11"/>
        <v>Please enter a date</v>
      </c>
      <c r="C331" s="11"/>
      <c r="D331" s="12"/>
      <c r="E331" s="6"/>
      <c r="F331" s="13"/>
      <c r="G331" s="9"/>
      <c r="H331" s="7"/>
      <c r="I331" s="7"/>
    </row>
    <row r="332" spans="1:9" x14ac:dyDescent="0.25">
      <c r="A332" s="23" t="str">
        <f t="shared" si="10"/>
        <v>Please select an account</v>
      </c>
      <c r="B332" s="24" t="str">
        <f t="shared" si="11"/>
        <v>Please enter a date</v>
      </c>
      <c r="C332" s="11"/>
      <c r="D332" s="12"/>
      <c r="E332" s="6"/>
      <c r="F332" s="13"/>
      <c r="G332" s="9"/>
      <c r="H332" s="7"/>
      <c r="I332" s="7"/>
    </row>
    <row r="333" spans="1:9" x14ac:dyDescent="0.25">
      <c r="A333" s="23" t="str">
        <f t="shared" si="10"/>
        <v>Please select an account</v>
      </c>
      <c r="B333" s="24" t="str">
        <f t="shared" si="11"/>
        <v>Please enter a date</v>
      </c>
      <c r="C333" s="11"/>
      <c r="D333" s="12"/>
      <c r="E333" s="6"/>
      <c r="F333" s="13"/>
      <c r="G333" s="9"/>
      <c r="H333" s="7"/>
      <c r="I333" s="7"/>
    </row>
    <row r="334" spans="1:9" x14ac:dyDescent="0.25">
      <c r="A334" s="23" t="str">
        <f t="shared" si="10"/>
        <v>Please select an account</v>
      </c>
      <c r="B334" s="24" t="str">
        <f t="shared" si="11"/>
        <v>Please enter a date</v>
      </c>
      <c r="C334" s="11"/>
      <c r="D334" s="12"/>
      <c r="E334" s="6"/>
      <c r="F334" s="13"/>
      <c r="G334" s="9"/>
      <c r="H334" s="7"/>
      <c r="I334" s="7"/>
    </row>
    <row r="335" spans="1:9" x14ac:dyDescent="0.25">
      <c r="A335" s="23" t="str">
        <f t="shared" si="10"/>
        <v>Please select an account</v>
      </c>
      <c r="B335" s="24" t="str">
        <f t="shared" si="11"/>
        <v>Please enter a date</v>
      </c>
      <c r="C335" s="11"/>
      <c r="D335" s="12"/>
      <c r="E335" s="6"/>
      <c r="F335" s="13"/>
      <c r="G335" s="9"/>
      <c r="H335" s="7"/>
      <c r="I335" s="7"/>
    </row>
    <row r="336" spans="1:9" x14ac:dyDescent="0.25">
      <c r="A336" s="23" t="str">
        <f t="shared" si="10"/>
        <v>Please select an account</v>
      </c>
      <c r="B336" s="24" t="str">
        <f t="shared" si="11"/>
        <v>Please enter a date</v>
      </c>
      <c r="C336" s="11"/>
      <c r="D336" s="12"/>
      <c r="E336" s="6"/>
      <c r="F336" s="13"/>
      <c r="G336" s="9"/>
      <c r="H336" s="7"/>
      <c r="I336" s="7"/>
    </row>
    <row r="337" spans="1:9" x14ac:dyDescent="0.25">
      <c r="A337" s="23" t="str">
        <f t="shared" si="10"/>
        <v>Please select an account</v>
      </c>
      <c r="B337" s="24" t="str">
        <f t="shared" si="11"/>
        <v>Please enter a date</v>
      </c>
      <c r="C337" s="11"/>
      <c r="D337" s="12"/>
      <c r="E337" s="6"/>
      <c r="F337" s="13"/>
      <c r="G337" s="9"/>
      <c r="H337" s="7"/>
      <c r="I337" s="7"/>
    </row>
    <row r="338" spans="1:9" x14ac:dyDescent="0.25">
      <c r="A338" s="23" t="str">
        <f t="shared" si="10"/>
        <v>Please select an account</v>
      </c>
      <c r="B338" s="24" t="str">
        <f t="shared" si="11"/>
        <v>Please enter a date</v>
      </c>
      <c r="C338" s="11"/>
      <c r="D338" s="12"/>
      <c r="E338" s="6"/>
      <c r="F338" s="13"/>
      <c r="G338" s="9"/>
      <c r="H338" s="7"/>
      <c r="I338" s="7"/>
    </row>
    <row r="339" spans="1:9" x14ac:dyDescent="0.25">
      <c r="A339" s="23" t="str">
        <f t="shared" si="10"/>
        <v>Please select an account</v>
      </c>
      <c r="B339" s="24" t="str">
        <f t="shared" si="11"/>
        <v>Please enter a date</v>
      </c>
      <c r="C339" s="11"/>
      <c r="D339" s="12"/>
      <c r="E339" s="6"/>
      <c r="F339" s="13"/>
      <c r="G339" s="9"/>
      <c r="H339" s="7"/>
      <c r="I339" s="7"/>
    </row>
    <row r="340" spans="1:9" x14ac:dyDescent="0.25">
      <c r="A340" s="23" t="str">
        <f t="shared" si="10"/>
        <v>Please select an account</v>
      </c>
      <c r="B340" s="24" t="str">
        <f t="shared" si="11"/>
        <v>Please enter a date</v>
      </c>
      <c r="C340" s="11"/>
      <c r="D340" s="12"/>
      <c r="E340" s="6"/>
      <c r="F340" s="13"/>
      <c r="G340" s="9"/>
      <c r="H340" s="7"/>
      <c r="I340" s="7"/>
    </row>
    <row r="341" spans="1:9" x14ac:dyDescent="0.25">
      <c r="A341" s="23" t="str">
        <f t="shared" si="10"/>
        <v>Please select an account</v>
      </c>
      <c r="B341" s="24" t="str">
        <f t="shared" si="11"/>
        <v>Please enter a date</v>
      </c>
      <c r="C341" s="11"/>
      <c r="D341" s="12"/>
      <c r="E341" s="6"/>
      <c r="F341" s="13"/>
      <c r="G341" s="9"/>
      <c r="H341" s="7"/>
      <c r="I341" s="7"/>
    </row>
    <row r="342" spans="1:9" x14ac:dyDescent="0.25">
      <c r="A342" s="23" t="str">
        <f t="shared" si="10"/>
        <v>Please select an account</v>
      </c>
      <c r="B342" s="24" t="str">
        <f t="shared" si="11"/>
        <v>Please enter a date</v>
      </c>
      <c r="C342" s="11"/>
      <c r="D342" s="12"/>
      <c r="E342" s="6"/>
      <c r="F342" s="13"/>
      <c r="G342" s="9"/>
      <c r="H342" s="7"/>
      <c r="I342" s="7"/>
    </row>
    <row r="343" spans="1:9" x14ac:dyDescent="0.25">
      <c r="A343" s="23" t="str">
        <f t="shared" si="10"/>
        <v>Please select an account</v>
      </c>
      <c r="B343" s="24" t="str">
        <f t="shared" si="11"/>
        <v>Please enter a date</v>
      </c>
      <c r="C343" s="11"/>
      <c r="D343" s="12"/>
      <c r="E343" s="6"/>
      <c r="F343" s="13"/>
      <c r="G343" s="9"/>
      <c r="H343" s="7"/>
      <c r="I343" s="7"/>
    </row>
    <row r="344" spans="1:9" x14ac:dyDescent="0.25">
      <c r="A344" s="23" t="str">
        <f t="shared" si="10"/>
        <v>Please select an account</v>
      </c>
      <c r="B344" s="24" t="str">
        <f t="shared" si="11"/>
        <v>Please enter a date</v>
      </c>
      <c r="C344" s="11"/>
      <c r="D344" s="12"/>
      <c r="E344" s="6"/>
      <c r="F344" s="13"/>
      <c r="G344" s="9"/>
      <c r="H344" s="7"/>
      <c r="I344" s="7"/>
    </row>
    <row r="345" spans="1:9" x14ac:dyDescent="0.25">
      <c r="A345" s="23" t="str">
        <f t="shared" si="10"/>
        <v>Please select an account</v>
      </c>
      <c r="B345" s="24" t="str">
        <f t="shared" si="11"/>
        <v>Please enter a date</v>
      </c>
      <c r="C345" s="11"/>
      <c r="D345" s="12"/>
      <c r="E345" s="6"/>
      <c r="F345" s="13"/>
      <c r="G345" s="9"/>
      <c r="H345" s="7"/>
      <c r="I345" s="7"/>
    </row>
    <row r="346" spans="1:9" x14ac:dyDescent="0.25">
      <c r="A346" s="23" t="str">
        <f t="shared" si="10"/>
        <v>Please select an account</v>
      </c>
      <c r="B346" s="24" t="str">
        <f t="shared" si="11"/>
        <v>Please enter a date</v>
      </c>
      <c r="C346" s="11"/>
      <c r="D346" s="12"/>
      <c r="E346" s="6"/>
      <c r="F346" s="13"/>
      <c r="G346" s="9"/>
      <c r="H346" s="7"/>
      <c r="I346" s="7"/>
    </row>
    <row r="347" spans="1:9" x14ac:dyDescent="0.25">
      <c r="A347" s="23" t="str">
        <f t="shared" si="10"/>
        <v>Please select an account</v>
      </c>
      <c r="B347" s="24" t="str">
        <f t="shared" si="11"/>
        <v>Please enter a date</v>
      </c>
      <c r="C347" s="11"/>
      <c r="D347" s="12"/>
      <c r="E347" s="6"/>
      <c r="F347" s="13"/>
      <c r="G347" s="9"/>
      <c r="H347" s="7"/>
      <c r="I347" s="7"/>
    </row>
    <row r="348" spans="1:9" x14ac:dyDescent="0.25">
      <c r="A348" s="23" t="str">
        <f t="shared" si="10"/>
        <v>Please select an account</v>
      </c>
      <c r="B348" s="24" t="str">
        <f t="shared" si="11"/>
        <v>Please enter a date</v>
      </c>
      <c r="C348" s="11"/>
      <c r="D348" s="12"/>
      <c r="E348" s="6"/>
      <c r="F348" s="13"/>
      <c r="G348" s="9"/>
      <c r="H348" s="7"/>
      <c r="I348" s="7"/>
    </row>
    <row r="349" spans="1:9" x14ac:dyDescent="0.25">
      <c r="A349" s="23" t="str">
        <f t="shared" si="10"/>
        <v>Please select an account</v>
      </c>
      <c r="B349" s="24" t="str">
        <f t="shared" si="11"/>
        <v>Please enter a date</v>
      </c>
      <c r="C349" s="11"/>
      <c r="D349" s="12"/>
      <c r="E349" s="6"/>
      <c r="F349" s="13"/>
      <c r="G349" s="9"/>
      <c r="H349" s="7"/>
      <c r="I349" s="7"/>
    </row>
    <row r="350" spans="1:9" x14ac:dyDescent="0.25">
      <c r="A350" s="23" t="str">
        <f t="shared" si="10"/>
        <v>Please select an account</v>
      </c>
      <c r="B350" s="24" t="str">
        <f t="shared" si="11"/>
        <v>Please enter a date</v>
      </c>
      <c r="C350" s="11"/>
      <c r="D350" s="12"/>
      <c r="E350" s="6"/>
      <c r="F350" s="13"/>
      <c r="G350" s="9"/>
      <c r="H350" s="7"/>
      <c r="I350" s="7"/>
    </row>
    <row r="351" spans="1:9" x14ac:dyDescent="0.25">
      <c r="A351" s="23" t="str">
        <f t="shared" si="10"/>
        <v>Please select an account</v>
      </c>
      <c r="B351" s="24" t="str">
        <f t="shared" si="11"/>
        <v>Please enter a date</v>
      </c>
      <c r="C351" s="11"/>
      <c r="D351" s="12"/>
      <c r="E351" s="6"/>
      <c r="F351" s="13"/>
      <c r="G351" s="9"/>
      <c r="H351" s="7"/>
      <c r="I351" s="7"/>
    </row>
    <row r="352" spans="1:9" x14ac:dyDescent="0.25">
      <c r="A352" s="23" t="str">
        <f t="shared" si="10"/>
        <v>Please select an account</v>
      </c>
      <c r="B352" s="24" t="str">
        <f t="shared" si="11"/>
        <v>Please enter a date</v>
      </c>
      <c r="C352" s="11"/>
      <c r="D352" s="12"/>
      <c r="E352" s="6"/>
      <c r="F352" s="13"/>
      <c r="G352" s="9"/>
      <c r="H352" s="7"/>
      <c r="I352" s="7"/>
    </row>
    <row r="353" spans="1:9" x14ac:dyDescent="0.25">
      <c r="A353" s="23" t="str">
        <f t="shared" si="10"/>
        <v>Please select an account</v>
      </c>
      <c r="B353" s="24" t="str">
        <f t="shared" si="11"/>
        <v>Please enter a date</v>
      </c>
      <c r="C353" s="11"/>
      <c r="D353" s="12"/>
      <c r="E353" s="6"/>
      <c r="F353" s="13"/>
      <c r="G353" s="9"/>
      <c r="H353" s="7"/>
      <c r="I353" s="7"/>
    </row>
    <row r="354" spans="1:9" x14ac:dyDescent="0.25">
      <c r="A354" s="23" t="str">
        <f t="shared" si="10"/>
        <v>Please select an account</v>
      </c>
      <c r="B354" s="24" t="str">
        <f t="shared" si="11"/>
        <v>Please enter a date</v>
      </c>
      <c r="C354" s="11"/>
      <c r="D354" s="12"/>
      <c r="E354" s="6"/>
      <c r="F354" s="13"/>
      <c r="G354" s="9"/>
      <c r="H354" s="7"/>
      <c r="I354" s="7"/>
    </row>
    <row r="355" spans="1:9" x14ac:dyDescent="0.25">
      <c r="A355" s="23" t="str">
        <f t="shared" si="10"/>
        <v>Please select an account</v>
      </c>
      <c r="B355" s="24" t="str">
        <f t="shared" si="11"/>
        <v>Please enter a date</v>
      </c>
      <c r="C355" s="11"/>
      <c r="D355" s="12"/>
      <c r="E355" s="6"/>
      <c r="F355" s="13"/>
      <c r="G355" s="9"/>
      <c r="H355" s="7"/>
      <c r="I355" s="7"/>
    </row>
    <row r="356" spans="1:9" x14ac:dyDescent="0.25">
      <c r="A356" s="23" t="str">
        <f t="shared" si="10"/>
        <v>Please select an account</v>
      </c>
      <c r="B356" s="24" t="str">
        <f t="shared" si="11"/>
        <v>Please enter a date</v>
      </c>
      <c r="C356" s="11"/>
      <c r="D356" s="12"/>
      <c r="E356" s="6"/>
      <c r="F356" s="13"/>
      <c r="G356" s="9"/>
      <c r="H356" s="7"/>
      <c r="I356" s="7"/>
    </row>
    <row r="357" spans="1:9" x14ac:dyDescent="0.25">
      <c r="A357" s="23" t="str">
        <f t="shared" si="10"/>
        <v>Please select an account</v>
      </c>
      <c r="B357" s="24" t="str">
        <f t="shared" si="11"/>
        <v>Please enter a date</v>
      </c>
      <c r="C357" s="11"/>
      <c r="D357" s="12"/>
      <c r="E357" s="6"/>
      <c r="F357" s="13"/>
      <c r="G357" s="9"/>
      <c r="H357" s="7"/>
      <c r="I357" s="7"/>
    </row>
    <row r="358" spans="1:9" x14ac:dyDescent="0.25">
      <c r="A358" s="23" t="str">
        <f t="shared" si="10"/>
        <v>Please select an account</v>
      </c>
      <c r="B358" s="24" t="str">
        <f t="shared" si="11"/>
        <v>Please enter a date</v>
      </c>
      <c r="C358" s="11"/>
      <c r="D358" s="12"/>
      <c r="E358" s="6"/>
      <c r="F358" s="13"/>
      <c r="G358" s="9"/>
      <c r="H358" s="7"/>
      <c r="I358" s="7"/>
    </row>
    <row r="359" spans="1:9" x14ac:dyDescent="0.25">
      <c r="A359" s="23" t="str">
        <f t="shared" si="10"/>
        <v>Please select an account</v>
      </c>
      <c r="B359" s="24" t="str">
        <f t="shared" si="11"/>
        <v>Please enter a date</v>
      </c>
      <c r="C359" s="11"/>
      <c r="D359" s="12"/>
      <c r="E359" s="6"/>
      <c r="F359" s="13"/>
      <c r="G359" s="9"/>
      <c r="H359" s="7"/>
      <c r="I359" s="7"/>
    </row>
    <row r="360" spans="1:9" x14ac:dyDescent="0.25">
      <c r="A360" s="23" t="str">
        <f t="shared" si="10"/>
        <v>Please select an account</v>
      </c>
      <c r="B360" s="24" t="str">
        <f t="shared" si="11"/>
        <v>Please enter a date</v>
      </c>
      <c r="C360" s="11"/>
      <c r="D360" s="12"/>
      <c r="E360" s="6"/>
      <c r="F360" s="13"/>
      <c r="G360" s="9"/>
      <c r="H360" s="7"/>
      <c r="I360" s="7"/>
    </row>
    <row r="361" spans="1:9" x14ac:dyDescent="0.25">
      <c r="A361" s="23" t="str">
        <f t="shared" si="10"/>
        <v>Please select an account</v>
      </c>
      <c r="B361" s="24" t="str">
        <f t="shared" si="11"/>
        <v>Please enter a date</v>
      </c>
      <c r="C361" s="11"/>
      <c r="D361" s="12"/>
      <c r="E361" s="6"/>
      <c r="F361" s="13"/>
      <c r="G361" s="9"/>
      <c r="H361" s="7"/>
      <c r="I361" s="7"/>
    </row>
    <row r="362" spans="1:9" x14ac:dyDescent="0.25">
      <c r="A362" s="23" t="str">
        <f t="shared" si="10"/>
        <v>Please select an account</v>
      </c>
      <c r="B362" s="24" t="str">
        <f t="shared" si="11"/>
        <v>Please enter a date</v>
      </c>
      <c r="C362" s="11"/>
      <c r="D362" s="12"/>
      <c r="E362" s="6"/>
      <c r="F362" s="13"/>
      <c r="G362" s="9"/>
      <c r="H362" s="7"/>
      <c r="I362" s="7"/>
    </row>
    <row r="363" spans="1:9" x14ac:dyDescent="0.25">
      <c r="A363" s="23" t="str">
        <f t="shared" si="10"/>
        <v>Please select an account</v>
      </c>
      <c r="B363" s="24" t="str">
        <f t="shared" si="11"/>
        <v>Please enter a date</v>
      </c>
      <c r="C363" s="11"/>
      <c r="D363" s="12"/>
      <c r="E363" s="6"/>
      <c r="F363" s="13"/>
      <c r="G363" s="9"/>
      <c r="H363" s="7"/>
      <c r="I363" s="7"/>
    </row>
    <row r="364" spans="1:9" x14ac:dyDescent="0.25">
      <c r="A364" s="23" t="str">
        <f t="shared" si="10"/>
        <v>Please select an account</v>
      </c>
      <c r="B364" s="24" t="str">
        <f t="shared" si="11"/>
        <v>Please enter a date</v>
      </c>
      <c r="C364" s="11"/>
      <c r="D364" s="12"/>
      <c r="E364" s="6"/>
      <c r="F364" s="13"/>
      <c r="G364" s="9"/>
      <c r="H364" s="7"/>
      <c r="I364" s="7"/>
    </row>
    <row r="365" spans="1:9" x14ac:dyDescent="0.25">
      <c r="A365" s="23" t="str">
        <f t="shared" si="10"/>
        <v>Please select an account</v>
      </c>
      <c r="B365" s="24" t="str">
        <f t="shared" si="11"/>
        <v>Please enter a date</v>
      </c>
      <c r="C365" s="11"/>
      <c r="D365" s="12"/>
      <c r="E365" s="6"/>
      <c r="F365" s="13"/>
      <c r="G365" s="9"/>
      <c r="H365" s="7"/>
      <c r="I365" s="7"/>
    </row>
    <row r="366" spans="1:9" x14ac:dyDescent="0.25">
      <c r="A366" s="23" t="str">
        <f t="shared" si="10"/>
        <v>Please select an account</v>
      </c>
      <c r="B366" s="24" t="str">
        <f t="shared" si="11"/>
        <v>Please enter a date</v>
      </c>
      <c r="C366" s="11"/>
      <c r="D366" s="12"/>
      <c r="E366" s="6"/>
      <c r="F366" s="13"/>
      <c r="G366" s="9"/>
      <c r="H366" s="7"/>
      <c r="I366" s="7"/>
    </row>
    <row r="367" spans="1:9" x14ac:dyDescent="0.25">
      <c r="A367" s="23" t="str">
        <f t="shared" si="10"/>
        <v>Please select an account</v>
      </c>
      <c r="B367" s="24" t="str">
        <f t="shared" si="11"/>
        <v>Please enter a date</v>
      </c>
      <c r="C367" s="11"/>
      <c r="D367" s="12"/>
      <c r="E367" s="6"/>
      <c r="F367" s="13"/>
      <c r="G367" s="9"/>
      <c r="H367" s="7"/>
      <c r="I367" s="7"/>
    </row>
    <row r="368" spans="1:9" x14ac:dyDescent="0.25">
      <c r="A368" s="23" t="str">
        <f t="shared" si="10"/>
        <v>Please select an account</v>
      </c>
      <c r="B368" s="24" t="str">
        <f t="shared" si="11"/>
        <v>Please enter a date</v>
      </c>
      <c r="C368" s="11"/>
      <c r="D368" s="12"/>
      <c r="E368" s="6"/>
      <c r="F368" s="13"/>
      <c r="G368" s="9"/>
      <c r="H368" s="7"/>
      <c r="I368" s="7"/>
    </row>
    <row r="369" spans="1:9" x14ac:dyDescent="0.25">
      <c r="A369" s="23" t="str">
        <f t="shared" si="10"/>
        <v>Please select an account</v>
      </c>
      <c r="B369" s="24" t="str">
        <f t="shared" si="11"/>
        <v>Please enter a date</v>
      </c>
      <c r="C369" s="11"/>
      <c r="D369" s="12"/>
      <c r="E369" s="6"/>
      <c r="F369" s="13"/>
      <c r="G369" s="9"/>
      <c r="H369" s="7"/>
      <c r="I369" s="7"/>
    </row>
    <row r="370" spans="1:9" x14ac:dyDescent="0.25">
      <c r="A370" s="23" t="str">
        <f t="shared" si="10"/>
        <v>Please select an account</v>
      </c>
      <c r="B370" s="24" t="str">
        <f t="shared" si="11"/>
        <v>Please enter a date</v>
      </c>
      <c r="C370" s="11"/>
      <c r="D370" s="12"/>
      <c r="E370" s="6"/>
      <c r="F370" s="13"/>
      <c r="G370" s="9"/>
      <c r="H370" s="7"/>
      <c r="I370" s="7"/>
    </row>
    <row r="371" spans="1:9" x14ac:dyDescent="0.25">
      <c r="A371" s="23" t="str">
        <f t="shared" si="10"/>
        <v>Please select an account</v>
      </c>
      <c r="B371" s="24" t="str">
        <f t="shared" si="11"/>
        <v>Please enter a date</v>
      </c>
      <c r="C371" s="11"/>
      <c r="D371" s="12"/>
      <c r="E371" s="6"/>
      <c r="F371" s="13"/>
      <c r="G371" s="9"/>
      <c r="H371" s="7"/>
      <c r="I371" s="7"/>
    </row>
    <row r="372" spans="1:9" x14ac:dyDescent="0.25">
      <c r="A372" s="23" t="str">
        <f t="shared" si="10"/>
        <v>Please select an account</v>
      </c>
      <c r="B372" s="24" t="str">
        <f t="shared" si="11"/>
        <v>Please enter a date</v>
      </c>
      <c r="C372" s="11"/>
      <c r="D372" s="12"/>
      <c r="E372" s="6"/>
      <c r="F372" s="13"/>
      <c r="G372" s="9"/>
      <c r="H372" s="7"/>
      <c r="I372" s="7"/>
    </row>
    <row r="373" spans="1:9" x14ac:dyDescent="0.25">
      <c r="A373" s="23" t="str">
        <f t="shared" si="10"/>
        <v>Please select an account</v>
      </c>
      <c r="B373" s="24" t="str">
        <f t="shared" si="11"/>
        <v>Please enter a date</v>
      </c>
      <c r="C373" s="11"/>
      <c r="D373" s="12"/>
      <c r="E373" s="6"/>
      <c r="F373" s="13"/>
      <c r="G373" s="9"/>
      <c r="H373" s="7"/>
      <c r="I373" s="7"/>
    </row>
    <row r="374" spans="1:9" x14ac:dyDescent="0.25">
      <c r="A374" s="23" t="str">
        <f t="shared" si="10"/>
        <v>Please select an account</v>
      </c>
      <c r="B374" s="24" t="str">
        <f t="shared" si="11"/>
        <v>Please enter a date</v>
      </c>
      <c r="C374" s="11"/>
      <c r="D374" s="12"/>
      <c r="E374" s="6"/>
      <c r="F374" s="13"/>
      <c r="G374" s="9"/>
      <c r="H374" s="7"/>
      <c r="I374" s="7"/>
    </row>
    <row r="375" spans="1:9" x14ac:dyDescent="0.25">
      <c r="A375" s="23" t="str">
        <f t="shared" si="10"/>
        <v>Please select an account</v>
      </c>
      <c r="B375" s="24" t="str">
        <f t="shared" si="11"/>
        <v>Please enter a date</v>
      </c>
      <c r="C375" s="11"/>
      <c r="D375" s="12"/>
      <c r="E375" s="6"/>
      <c r="F375" s="13"/>
      <c r="G375" s="9"/>
      <c r="H375" s="7"/>
      <c r="I375" s="7"/>
    </row>
    <row r="376" spans="1:9" x14ac:dyDescent="0.25">
      <c r="A376" s="23" t="str">
        <f t="shared" si="10"/>
        <v>Please select an account</v>
      </c>
      <c r="B376" s="24" t="str">
        <f t="shared" si="11"/>
        <v>Please enter a date</v>
      </c>
      <c r="C376" s="11"/>
      <c r="D376" s="12"/>
      <c r="E376" s="6"/>
      <c r="F376" s="13"/>
      <c r="G376" s="9"/>
      <c r="H376" s="7"/>
      <c r="I376" s="7"/>
    </row>
    <row r="377" spans="1:9" x14ac:dyDescent="0.25">
      <c r="A377" s="23" t="str">
        <f t="shared" si="10"/>
        <v>Please select an account</v>
      </c>
      <c r="B377" s="24" t="str">
        <f t="shared" si="11"/>
        <v>Please enter a date</v>
      </c>
      <c r="C377" s="11"/>
      <c r="D377" s="12"/>
      <c r="E377" s="6"/>
      <c r="F377" s="13"/>
      <c r="G377" s="9"/>
      <c r="H377" s="7"/>
      <c r="I377" s="7"/>
    </row>
    <row r="378" spans="1:9" x14ac:dyDescent="0.25">
      <c r="A378" s="23" t="str">
        <f t="shared" si="10"/>
        <v>Please select an account</v>
      </c>
      <c r="B378" s="24" t="str">
        <f t="shared" si="11"/>
        <v>Please enter a date</v>
      </c>
      <c r="C378" s="11"/>
      <c r="D378" s="12"/>
      <c r="E378" s="6"/>
      <c r="F378" s="13"/>
      <c r="G378" s="9"/>
      <c r="H378" s="7"/>
      <c r="I378" s="7"/>
    </row>
    <row r="379" spans="1:9" x14ac:dyDescent="0.25">
      <c r="A379" s="23" t="str">
        <f t="shared" si="10"/>
        <v>Please select an account</v>
      </c>
      <c r="B379" s="24" t="str">
        <f t="shared" si="11"/>
        <v>Please enter a date</v>
      </c>
      <c r="C379" s="11"/>
      <c r="D379" s="12"/>
      <c r="E379" s="6"/>
      <c r="F379" s="13"/>
      <c r="G379" s="9"/>
      <c r="H379" s="7"/>
      <c r="I379" s="7"/>
    </row>
    <row r="380" spans="1:9" x14ac:dyDescent="0.25">
      <c r="A380" s="23" t="str">
        <f t="shared" si="10"/>
        <v>Please select an account</v>
      </c>
      <c r="B380" s="24" t="str">
        <f t="shared" si="11"/>
        <v>Please enter a date</v>
      </c>
      <c r="C380" s="11"/>
      <c r="D380" s="12"/>
      <c r="E380" s="6"/>
      <c r="F380" s="13"/>
      <c r="G380" s="9"/>
      <c r="H380" s="7"/>
      <c r="I380" s="7"/>
    </row>
    <row r="381" spans="1:9" x14ac:dyDescent="0.25">
      <c r="A381" s="23" t="str">
        <f t="shared" si="10"/>
        <v>Please select an account</v>
      </c>
      <c r="B381" s="24" t="str">
        <f t="shared" si="11"/>
        <v>Please enter a date</v>
      </c>
      <c r="C381" s="11"/>
      <c r="D381" s="12"/>
      <c r="E381" s="6"/>
      <c r="F381" s="13"/>
      <c r="G381" s="9"/>
      <c r="H381" s="7"/>
      <c r="I381" s="7"/>
    </row>
    <row r="382" spans="1:9" x14ac:dyDescent="0.25">
      <c r="A382" s="23" t="str">
        <f t="shared" si="10"/>
        <v>Please select an account</v>
      </c>
      <c r="B382" s="24" t="str">
        <f t="shared" si="11"/>
        <v>Please enter a date</v>
      </c>
      <c r="C382" s="11"/>
      <c r="D382" s="12"/>
      <c r="E382" s="6"/>
      <c r="F382" s="13"/>
      <c r="G382" s="9"/>
      <c r="H382" s="7"/>
      <c r="I382" s="7"/>
    </row>
    <row r="383" spans="1:9" x14ac:dyDescent="0.25">
      <c r="A383" s="23" t="str">
        <f t="shared" si="10"/>
        <v>Please select an account</v>
      </c>
      <c r="B383" s="24" t="str">
        <f t="shared" si="11"/>
        <v>Please enter a date</v>
      </c>
      <c r="C383" s="11"/>
      <c r="D383" s="12"/>
      <c r="E383" s="6"/>
      <c r="F383" s="13"/>
      <c r="G383" s="9"/>
      <c r="H383" s="7"/>
      <c r="I383" s="7"/>
    </row>
    <row r="384" spans="1:9" x14ac:dyDescent="0.25">
      <c r="A384" s="23" t="str">
        <f t="shared" si="10"/>
        <v>Please select an account</v>
      </c>
      <c r="B384" s="24" t="str">
        <f t="shared" si="11"/>
        <v>Please enter a date</v>
      </c>
      <c r="C384" s="11"/>
      <c r="D384" s="12"/>
      <c r="E384" s="6"/>
      <c r="F384" s="13"/>
      <c r="G384" s="9"/>
      <c r="H384" s="7"/>
      <c r="I384" s="7"/>
    </row>
    <row r="385" spans="1:9" x14ac:dyDescent="0.25">
      <c r="A385" s="23" t="str">
        <f t="shared" si="10"/>
        <v>Please select an account</v>
      </c>
      <c r="B385" s="24" t="str">
        <f t="shared" si="11"/>
        <v>Please enter a date</v>
      </c>
      <c r="C385" s="11"/>
      <c r="D385" s="12"/>
      <c r="E385" s="6"/>
      <c r="F385" s="13"/>
      <c r="G385" s="9"/>
      <c r="H385" s="7"/>
      <c r="I385" s="7"/>
    </row>
    <row r="386" spans="1:9" x14ac:dyDescent="0.25">
      <c r="A386" s="23" t="str">
        <f t="shared" si="10"/>
        <v>Please select an account</v>
      </c>
      <c r="B386" s="24" t="str">
        <f t="shared" si="11"/>
        <v>Please enter a date</v>
      </c>
      <c r="C386" s="11"/>
      <c r="D386" s="12"/>
      <c r="E386" s="6"/>
      <c r="F386" s="13"/>
      <c r="G386" s="9"/>
      <c r="H386" s="7"/>
      <c r="I386" s="7"/>
    </row>
    <row r="387" spans="1:9" x14ac:dyDescent="0.25">
      <c r="A387" s="23" t="str">
        <f t="shared" si="10"/>
        <v>Please select an account</v>
      </c>
      <c r="B387" s="24" t="str">
        <f t="shared" si="11"/>
        <v>Please enter a date</v>
      </c>
      <c r="C387" s="11"/>
      <c r="D387" s="12"/>
      <c r="E387" s="6"/>
      <c r="F387" s="13"/>
      <c r="G387" s="9"/>
      <c r="H387" s="7"/>
      <c r="I387" s="7"/>
    </row>
    <row r="388" spans="1:9" x14ac:dyDescent="0.25">
      <c r="A388" s="23" t="str">
        <f t="shared" si="10"/>
        <v>Please select an account</v>
      </c>
      <c r="B388" s="24" t="str">
        <f t="shared" si="11"/>
        <v>Please enter a date</v>
      </c>
      <c r="C388" s="11"/>
      <c r="D388" s="12"/>
      <c r="E388" s="6"/>
      <c r="F388" s="13"/>
      <c r="G388" s="9"/>
      <c r="H388" s="7"/>
      <c r="I388" s="7"/>
    </row>
    <row r="389" spans="1:9" x14ac:dyDescent="0.25">
      <c r="A389" s="23" t="str">
        <f t="shared" si="10"/>
        <v>Please select an account</v>
      </c>
      <c r="B389" s="24" t="str">
        <f t="shared" si="11"/>
        <v>Please enter a date</v>
      </c>
      <c r="C389" s="11"/>
      <c r="D389" s="12"/>
      <c r="E389" s="6"/>
      <c r="F389" s="13"/>
      <c r="G389" s="9"/>
      <c r="H389" s="7"/>
      <c r="I389" s="7"/>
    </row>
    <row r="390" spans="1:9" x14ac:dyDescent="0.25">
      <c r="A390" s="23" t="str">
        <f t="shared" ref="A390:A453" si="12">IF($A$2=0,"Please select an account",$A$2)</f>
        <v>Please select an account</v>
      </c>
      <c r="B390" s="24" t="str">
        <f t="shared" ref="B390:B453" si="13">IF(TEXT($B$2,"YYYY-MM-DD")&lt;&gt;"1900-01-00",TEXT($B$2,"YYYY-MM-DD"),"Please enter a date")</f>
        <v>Please enter a date</v>
      </c>
      <c r="C390" s="11"/>
      <c r="D390" s="12"/>
      <c r="E390" s="6"/>
      <c r="F390" s="13"/>
      <c r="G390" s="9"/>
      <c r="H390" s="7"/>
      <c r="I390" s="7"/>
    </row>
    <row r="391" spans="1:9" x14ac:dyDescent="0.25">
      <c r="A391" s="23" t="str">
        <f t="shared" si="12"/>
        <v>Please select an account</v>
      </c>
      <c r="B391" s="24" t="str">
        <f t="shared" si="13"/>
        <v>Please enter a date</v>
      </c>
      <c r="C391" s="11"/>
      <c r="D391" s="12"/>
      <c r="E391" s="6"/>
      <c r="F391" s="13"/>
      <c r="G391" s="9"/>
      <c r="H391" s="7"/>
      <c r="I391" s="7"/>
    </row>
    <row r="392" spans="1:9" x14ac:dyDescent="0.25">
      <c r="A392" s="23" t="str">
        <f t="shared" si="12"/>
        <v>Please select an account</v>
      </c>
      <c r="B392" s="24" t="str">
        <f t="shared" si="13"/>
        <v>Please enter a date</v>
      </c>
      <c r="C392" s="11"/>
      <c r="D392" s="12"/>
      <c r="E392" s="6"/>
      <c r="F392" s="13"/>
      <c r="G392" s="9"/>
      <c r="H392" s="7"/>
      <c r="I392" s="7"/>
    </row>
    <row r="393" spans="1:9" x14ac:dyDescent="0.25">
      <c r="A393" s="23" t="str">
        <f t="shared" si="12"/>
        <v>Please select an account</v>
      </c>
      <c r="B393" s="24" t="str">
        <f t="shared" si="13"/>
        <v>Please enter a date</v>
      </c>
      <c r="C393" s="11"/>
      <c r="D393" s="12"/>
      <c r="E393" s="6"/>
      <c r="F393" s="13"/>
      <c r="G393" s="9"/>
      <c r="H393" s="7"/>
      <c r="I393" s="7"/>
    </row>
    <row r="394" spans="1:9" x14ac:dyDescent="0.25">
      <c r="A394" s="23" t="str">
        <f t="shared" si="12"/>
        <v>Please select an account</v>
      </c>
      <c r="B394" s="24" t="str">
        <f t="shared" si="13"/>
        <v>Please enter a date</v>
      </c>
      <c r="C394" s="11"/>
      <c r="D394" s="12"/>
      <c r="E394" s="6"/>
      <c r="F394" s="13"/>
      <c r="G394" s="9"/>
      <c r="H394" s="7"/>
      <c r="I394" s="7"/>
    </row>
    <row r="395" spans="1:9" x14ac:dyDescent="0.25">
      <c r="A395" s="23" t="str">
        <f t="shared" si="12"/>
        <v>Please select an account</v>
      </c>
      <c r="B395" s="24" t="str">
        <f t="shared" si="13"/>
        <v>Please enter a date</v>
      </c>
      <c r="C395" s="11"/>
      <c r="D395" s="12"/>
      <c r="E395" s="6"/>
      <c r="F395" s="13"/>
      <c r="G395" s="9"/>
      <c r="H395" s="7"/>
      <c r="I395" s="7"/>
    </row>
    <row r="396" spans="1:9" x14ac:dyDescent="0.25">
      <c r="A396" s="23" t="str">
        <f t="shared" si="12"/>
        <v>Please select an account</v>
      </c>
      <c r="B396" s="24" t="str">
        <f t="shared" si="13"/>
        <v>Please enter a date</v>
      </c>
      <c r="C396" s="11"/>
      <c r="D396" s="12"/>
      <c r="E396" s="6"/>
      <c r="F396" s="13"/>
      <c r="G396" s="9"/>
      <c r="H396" s="7"/>
      <c r="I396" s="7"/>
    </row>
    <row r="397" spans="1:9" x14ac:dyDescent="0.25">
      <c r="A397" s="23" t="str">
        <f t="shared" si="12"/>
        <v>Please select an account</v>
      </c>
      <c r="B397" s="24" t="str">
        <f t="shared" si="13"/>
        <v>Please enter a date</v>
      </c>
      <c r="C397" s="11"/>
      <c r="D397" s="12"/>
      <c r="E397" s="6"/>
      <c r="F397" s="13"/>
      <c r="G397" s="9"/>
      <c r="H397" s="7"/>
      <c r="I397" s="7"/>
    </row>
    <row r="398" spans="1:9" x14ac:dyDescent="0.25">
      <c r="A398" s="23" t="str">
        <f t="shared" si="12"/>
        <v>Please select an account</v>
      </c>
      <c r="B398" s="24" t="str">
        <f t="shared" si="13"/>
        <v>Please enter a date</v>
      </c>
      <c r="C398" s="11"/>
      <c r="D398" s="12"/>
      <c r="E398" s="6"/>
      <c r="F398" s="13"/>
      <c r="G398" s="9"/>
      <c r="H398" s="7"/>
      <c r="I398" s="7"/>
    </row>
    <row r="399" spans="1:9" x14ac:dyDescent="0.25">
      <c r="A399" s="23" t="str">
        <f t="shared" si="12"/>
        <v>Please select an account</v>
      </c>
      <c r="B399" s="24" t="str">
        <f t="shared" si="13"/>
        <v>Please enter a date</v>
      </c>
      <c r="C399" s="11"/>
      <c r="D399" s="12"/>
      <c r="E399" s="6"/>
      <c r="F399" s="13"/>
      <c r="G399" s="9"/>
      <c r="H399" s="7"/>
      <c r="I399" s="7"/>
    </row>
    <row r="400" spans="1:9" x14ac:dyDescent="0.25">
      <c r="A400" s="23" t="str">
        <f t="shared" si="12"/>
        <v>Please select an account</v>
      </c>
      <c r="B400" s="24" t="str">
        <f t="shared" si="13"/>
        <v>Please enter a date</v>
      </c>
      <c r="C400" s="11"/>
      <c r="D400" s="12"/>
      <c r="E400" s="6"/>
      <c r="F400" s="13"/>
      <c r="G400" s="9"/>
      <c r="H400" s="7"/>
      <c r="I400" s="7"/>
    </row>
    <row r="401" spans="1:9" x14ac:dyDescent="0.25">
      <c r="A401" s="23" t="str">
        <f t="shared" si="12"/>
        <v>Please select an account</v>
      </c>
      <c r="B401" s="24" t="str">
        <f t="shared" si="13"/>
        <v>Please enter a date</v>
      </c>
      <c r="C401" s="11"/>
      <c r="D401" s="12"/>
      <c r="E401" s="6"/>
      <c r="F401" s="13"/>
      <c r="G401" s="9"/>
      <c r="H401" s="7"/>
      <c r="I401" s="7"/>
    </row>
    <row r="402" spans="1:9" x14ac:dyDescent="0.25">
      <c r="A402" s="23" t="str">
        <f t="shared" si="12"/>
        <v>Please select an account</v>
      </c>
      <c r="B402" s="24" t="str">
        <f t="shared" si="13"/>
        <v>Please enter a date</v>
      </c>
      <c r="C402" s="11"/>
      <c r="D402" s="12"/>
      <c r="E402" s="6"/>
      <c r="F402" s="13"/>
      <c r="G402" s="9"/>
      <c r="H402" s="7"/>
      <c r="I402" s="7"/>
    </row>
    <row r="403" spans="1:9" x14ac:dyDescent="0.25">
      <c r="A403" s="23" t="str">
        <f t="shared" si="12"/>
        <v>Please select an account</v>
      </c>
      <c r="B403" s="24" t="str">
        <f t="shared" si="13"/>
        <v>Please enter a date</v>
      </c>
      <c r="C403" s="11"/>
      <c r="D403" s="12"/>
      <c r="E403" s="6"/>
      <c r="F403" s="13"/>
      <c r="G403" s="9"/>
      <c r="H403" s="7"/>
      <c r="I403" s="7"/>
    </row>
    <row r="404" spans="1:9" x14ac:dyDescent="0.25">
      <c r="A404" s="23" t="str">
        <f t="shared" si="12"/>
        <v>Please select an account</v>
      </c>
      <c r="B404" s="24" t="str">
        <f t="shared" si="13"/>
        <v>Please enter a date</v>
      </c>
      <c r="C404" s="11"/>
      <c r="D404" s="12"/>
      <c r="E404" s="6"/>
      <c r="F404" s="13"/>
      <c r="G404" s="9"/>
      <c r="H404" s="7"/>
      <c r="I404" s="7"/>
    </row>
    <row r="405" spans="1:9" x14ac:dyDescent="0.25">
      <c r="A405" s="23" t="str">
        <f t="shared" si="12"/>
        <v>Please select an account</v>
      </c>
      <c r="B405" s="24" t="str">
        <f t="shared" si="13"/>
        <v>Please enter a date</v>
      </c>
      <c r="C405" s="11"/>
      <c r="D405" s="12"/>
      <c r="E405" s="6"/>
      <c r="F405" s="13"/>
      <c r="G405" s="9"/>
      <c r="H405" s="7"/>
      <c r="I405" s="7"/>
    </row>
    <row r="406" spans="1:9" x14ac:dyDescent="0.25">
      <c r="A406" s="23" t="str">
        <f t="shared" si="12"/>
        <v>Please select an account</v>
      </c>
      <c r="B406" s="24" t="str">
        <f t="shared" si="13"/>
        <v>Please enter a date</v>
      </c>
      <c r="C406" s="11"/>
      <c r="D406" s="12"/>
      <c r="E406" s="6"/>
      <c r="F406" s="13"/>
      <c r="G406" s="9"/>
      <c r="H406" s="7"/>
      <c r="I406" s="7"/>
    </row>
    <row r="407" spans="1:9" x14ac:dyDescent="0.25">
      <c r="A407" s="23" t="str">
        <f t="shared" si="12"/>
        <v>Please select an account</v>
      </c>
      <c r="B407" s="24" t="str">
        <f t="shared" si="13"/>
        <v>Please enter a date</v>
      </c>
      <c r="C407" s="11"/>
      <c r="D407" s="12"/>
      <c r="E407" s="6"/>
      <c r="F407" s="13"/>
      <c r="G407" s="9"/>
      <c r="H407" s="7"/>
      <c r="I407" s="7"/>
    </row>
    <row r="408" spans="1:9" x14ac:dyDescent="0.25">
      <c r="A408" s="23" t="str">
        <f t="shared" si="12"/>
        <v>Please select an account</v>
      </c>
      <c r="B408" s="24" t="str">
        <f t="shared" si="13"/>
        <v>Please enter a date</v>
      </c>
      <c r="C408" s="11"/>
      <c r="D408" s="12"/>
      <c r="E408" s="6"/>
      <c r="F408" s="13"/>
      <c r="G408" s="9"/>
      <c r="H408" s="7"/>
      <c r="I408" s="7"/>
    </row>
    <row r="409" spans="1:9" x14ac:dyDescent="0.25">
      <c r="A409" s="23" t="str">
        <f t="shared" si="12"/>
        <v>Please select an account</v>
      </c>
      <c r="B409" s="24" t="str">
        <f t="shared" si="13"/>
        <v>Please enter a date</v>
      </c>
      <c r="C409" s="11"/>
      <c r="D409" s="12"/>
      <c r="E409" s="6"/>
      <c r="F409" s="13"/>
      <c r="G409" s="9"/>
      <c r="H409" s="7"/>
      <c r="I409" s="7"/>
    </row>
    <row r="410" spans="1:9" x14ac:dyDescent="0.25">
      <c r="A410" s="23" t="str">
        <f t="shared" si="12"/>
        <v>Please select an account</v>
      </c>
      <c r="B410" s="24" t="str">
        <f t="shared" si="13"/>
        <v>Please enter a date</v>
      </c>
      <c r="C410" s="11"/>
      <c r="D410" s="12"/>
      <c r="E410" s="6"/>
      <c r="F410" s="13"/>
      <c r="G410" s="9"/>
      <c r="H410" s="7"/>
      <c r="I410" s="7"/>
    </row>
    <row r="411" spans="1:9" x14ac:dyDescent="0.25">
      <c r="A411" s="23" t="str">
        <f t="shared" si="12"/>
        <v>Please select an account</v>
      </c>
      <c r="B411" s="24" t="str">
        <f t="shared" si="13"/>
        <v>Please enter a date</v>
      </c>
      <c r="C411" s="11"/>
      <c r="D411" s="12"/>
      <c r="E411" s="6"/>
      <c r="F411" s="13"/>
      <c r="G411" s="9"/>
      <c r="H411" s="7"/>
      <c r="I411" s="7"/>
    </row>
    <row r="412" spans="1:9" x14ac:dyDescent="0.25">
      <c r="A412" s="23" t="str">
        <f t="shared" si="12"/>
        <v>Please select an account</v>
      </c>
      <c r="B412" s="24" t="str">
        <f t="shared" si="13"/>
        <v>Please enter a date</v>
      </c>
      <c r="C412" s="11"/>
      <c r="D412" s="12"/>
      <c r="E412" s="6"/>
      <c r="F412" s="13"/>
      <c r="G412" s="9"/>
      <c r="H412" s="7"/>
      <c r="I412" s="7"/>
    </row>
    <row r="413" spans="1:9" x14ac:dyDescent="0.25">
      <c r="A413" s="23" t="str">
        <f t="shared" si="12"/>
        <v>Please select an account</v>
      </c>
      <c r="B413" s="24" t="str">
        <f t="shared" si="13"/>
        <v>Please enter a date</v>
      </c>
      <c r="C413" s="11"/>
      <c r="D413" s="12"/>
      <c r="E413" s="6"/>
      <c r="F413" s="13"/>
      <c r="G413" s="9"/>
      <c r="H413" s="7"/>
      <c r="I413" s="7"/>
    </row>
    <row r="414" spans="1:9" x14ac:dyDescent="0.25">
      <c r="A414" s="23" t="str">
        <f t="shared" si="12"/>
        <v>Please select an account</v>
      </c>
      <c r="B414" s="24" t="str">
        <f t="shared" si="13"/>
        <v>Please enter a date</v>
      </c>
      <c r="C414" s="11"/>
      <c r="D414" s="12"/>
      <c r="E414" s="6"/>
      <c r="F414" s="13"/>
      <c r="G414" s="9"/>
      <c r="H414" s="7"/>
      <c r="I414" s="7"/>
    </row>
    <row r="415" spans="1:9" x14ac:dyDescent="0.25">
      <c r="A415" s="23" t="str">
        <f t="shared" si="12"/>
        <v>Please select an account</v>
      </c>
      <c r="B415" s="24" t="str">
        <f t="shared" si="13"/>
        <v>Please enter a date</v>
      </c>
      <c r="C415" s="11"/>
      <c r="D415" s="12"/>
      <c r="E415" s="6"/>
      <c r="F415" s="13"/>
      <c r="G415" s="9"/>
      <c r="H415" s="7"/>
      <c r="I415" s="7"/>
    </row>
    <row r="416" spans="1:9" x14ac:dyDescent="0.25">
      <c r="A416" s="23" t="str">
        <f t="shared" si="12"/>
        <v>Please select an account</v>
      </c>
      <c r="B416" s="24" t="str">
        <f t="shared" si="13"/>
        <v>Please enter a date</v>
      </c>
      <c r="C416" s="11"/>
      <c r="D416" s="12"/>
      <c r="E416" s="6"/>
      <c r="F416" s="13"/>
      <c r="G416" s="9"/>
      <c r="H416" s="7"/>
      <c r="I416" s="7"/>
    </row>
    <row r="417" spans="1:9" x14ac:dyDescent="0.25">
      <c r="A417" s="23" t="str">
        <f t="shared" si="12"/>
        <v>Please select an account</v>
      </c>
      <c r="B417" s="24" t="str">
        <f t="shared" si="13"/>
        <v>Please enter a date</v>
      </c>
      <c r="C417" s="11"/>
      <c r="D417" s="12"/>
      <c r="E417" s="6"/>
      <c r="F417" s="13"/>
      <c r="G417" s="9"/>
      <c r="H417" s="7"/>
      <c r="I417" s="7"/>
    </row>
    <row r="418" spans="1:9" x14ac:dyDescent="0.25">
      <c r="A418" s="23" t="str">
        <f t="shared" si="12"/>
        <v>Please select an account</v>
      </c>
      <c r="B418" s="24" t="str">
        <f t="shared" si="13"/>
        <v>Please enter a date</v>
      </c>
      <c r="C418" s="11"/>
      <c r="D418" s="12"/>
      <c r="E418" s="6"/>
      <c r="F418" s="13"/>
      <c r="G418" s="9"/>
      <c r="H418" s="7"/>
      <c r="I418" s="7"/>
    </row>
    <row r="419" spans="1:9" x14ac:dyDescent="0.25">
      <c r="A419" s="23" t="str">
        <f t="shared" si="12"/>
        <v>Please select an account</v>
      </c>
      <c r="B419" s="24" t="str">
        <f t="shared" si="13"/>
        <v>Please enter a date</v>
      </c>
      <c r="C419" s="11"/>
      <c r="D419" s="12"/>
      <c r="E419" s="6"/>
      <c r="F419" s="13"/>
      <c r="G419" s="9"/>
      <c r="H419" s="7"/>
      <c r="I419" s="7"/>
    </row>
    <row r="420" spans="1:9" x14ac:dyDescent="0.25">
      <c r="A420" s="23" t="str">
        <f t="shared" si="12"/>
        <v>Please select an account</v>
      </c>
      <c r="B420" s="24" t="str">
        <f t="shared" si="13"/>
        <v>Please enter a date</v>
      </c>
      <c r="C420" s="11"/>
      <c r="D420" s="12"/>
      <c r="E420" s="6"/>
      <c r="F420" s="13"/>
      <c r="G420" s="9"/>
      <c r="H420" s="7"/>
      <c r="I420" s="7"/>
    </row>
    <row r="421" spans="1:9" x14ac:dyDescent="0.25">
      <c r="A421" s="23" t="str">
        <f t="shared" si="12"/>
        <v>Please select an account</v>
      </c>
      <c r="B421" s="24" t="str">
        <f t="shared" si="13"/>
        <v>Please enter a date</v>
      </c>
      <c r="C421" s="11"/>
      <c r="D421" s="12"/>
      <c r="E421" s="6"/>
      <c r="F421" s="13"/>
      <c r="G421" s="9"/>
      <c r="H421" s="7"/>
      <c r="I421" s="7"/>
    </row>
    <row r="422" spans="1:9" x14ac:dyDescent="0.25">
      <c r="A422" s="23" t="str">
        <f t="shared" si="12"/>
        <v>Please select an account</v>
      </c>
      <c r="B422" s="24" t="str">
        <f t="shared" si="13"/>
        <v>Please enter a date</v>
      </c>
      <c r="C422" s="11"/>
      <c r="D422" s="12"/>
      <c r="E422" s="6"/>
      <c r="F422" s="13"/>
      <c r="G422" s="9"/>
      <c r="H422" s="7"/>
      <c r="I422" s="7"/>
    </row>
    <row r="423" spans="1:9" x14ac:dyDescent="0.25">
      <c r="A423" s="23" t="str">
        <f t="shared" si="12"/>
        <v>Please select an account</v>
      </c>
      <c r="B423" s="24" t="str">
        <f t="shared" si="13"/>
        <v>Please enter a date</v>
      </c>
      <c r="C423" s="11"/>
      <c r="D423" s="12"/>
      <c r="E423" s="6"/>
      <c r="F423" s="13"/>
      <c r="G423" s="9"/>
      <c r="H423" s="7"/>
      <c r="I423" s="7"/>
    </row>
    <row r="424" spans="1:9" x14ac:dyDescent="0.25">
      <c r="A424" s="23" t="str">
        <f t="shared" si="12"/>
        <v>Please select an account</v>
      </c>
      <c r="B424" s="24" t="str">
        <f t="shared" si="13"/>
        <v>Please enter a date</v>
      </c>
      <c r="C424" s="11"/>
      <c r="D424" s="12"/>
      <c r="E424" s="6"/>
      <c r="F424" s="13"/>
      <c r="G424" s="9"/>
      <c r="H424" s="7"/>
      <c r="I424" s="7"/>
    </row>
    <row r="425" spans="1:9" x14ac:dyDescent="0.25">
      <c r="A425" s="23" t="str">
        <f t="shared" si="12"/>
        <v>Please select an account</v>
      </c>
      <c r="B425" s="24" t="str">
        <f t="shared" si="13"/>
        <v>Please enter a date</v>
      </c>
      <c r="C425" s="11"/>
      <c r="D425" s="12"/>
      <c r="E425" s="6"/>
      <c r="F425" s="13"/>
      <c r="G425" s="9"/>
      <c r="H425" s="7"/>
      <c r="I425" s="7"/>
    </row>
    <row r="426" spans="1:9" x14ac:dyDescent="0.25">
      <c r="A426" s="23" t="str">
        <f t="shared" si="12"/>
        <v>Please select an account</v>
      </c>
      <c r="B426" s="24" t="str">
        <f t="shared" si="13"/>
        <v>Please enter a date</v>
      </c>
      <c r="C426" s="11"/>
      <c r="D426" s="12"/>
      <c r="E426" s="6"/>
      <c r="F426" s="13"/>
      <c r="G426" s="9"/>
      <c r="H426" s="7"/>
      <c r="I426" s="7"/>
    </row>
    <row r="427" spans="1:9" x14ac:dyDescent="0.25">
      <c r="A427" s="23" t="str">
        <f t="shared" si="12"/>
        <v>Please select an account</v>
      </c>
      <c r="B427" s="24" t="str">
        <f t="shared" si="13"/>
        <v>Please enter a date</v>
      </c>
      <c r="C427" s="11"/>
      <c r="D427" s="12"/>
      <c r="E427" s="6"/>
      <c r="F427" s="13"/>
      <c r="G427" s="9"/>
      <c r="H427" s="7"/>
      <c r="I427" s="7"/>
    </row>
    <row r="428" spans="1:9" x14ac:dyDescent="0.25">
      <c r="A428" s="23" t="str">
        <f t="shared" si="12"/>
        <v>Please select an account</v>
      </c>
      <c r="B428" s="24" t="str">
        <f t="shared" si="13"/>
        <v>Please enter a date</v>
      </c>
      <c r="C428" s="11"/>
      <c r="D428" s="12"/>
      <c r="E428" s="6"/>
      <c r="F428" s="13"/>
      <c r="G428" s="9"/>
      <c r="H428" s="7"/>
      <c r="I428" s="7"/>
    </row>
    <row r="429" spans="1:9" x14ac:dyDescent="0.25">
      <c r="A429" s="23" t="str">
        <f t="shared" si="12"/>
        <v>Please select an account</v>
      </c>
      <c r="B429" s="24" t="str">
        <f t="shared" si="13"/>
        <v>Please enter a date</v>
      </c>
      <c r="C429" s="11"/>
      <c r="D429" s="12"/>
      <c r="E429" s="6"/>
      <c r="F429" s="13"/>
      <c r="G429" s="9"/>
      <c r="H429" s="7"/>
      <c r="I429" s="7"/>
    </row>
    <row r="430" spans="1:9" x14ac:dyDescent="0.25">
      <c r="A430" s="23" t="str">
        <f t="shared" si="12"/>
        <v>Please select an account</v>
      </c>
      <c r="B430" s="24" t="str">
        <f t="shared" si="13"/>
        <v>Please enter a date</v>
      </c>
      <c r="C430" s="11"/>
      <c r="D430" s="12"/>
      <c r="E430" s="6"/>
      <c r="F430" s="13"/>
      <c r="G430" s="9"/>
      <c r="H430" s="7"/>
      <c r="I430" s="7"/>
    </row>
    <row r="431" spans="1:9" x14ac:dyDescent="0.25">
      <c r="A431" s="23" t="str">
        <f t="shared" si="12"/>
        <v>Please select an account</v>
      </c>
      <c r="B431" s="24" t="str">
        <f t="shared" si="13"/>
        <v>Please enter a date</v>
      </c>
      <c r="C431" s="11"/>
      <c r="D431" s="12"/>
      <c r="E431" s="6"/>
      <c r="F431" s="13"/>
      <c r="G431" s="9"/>
      <c r="H431" s="7"/>
      <c r="I431" s="7"/>
    </row>
    <row r="432" spans="1:9" x14ac:dyDescent="0.25">
      <c r="A432" s="23" t="str">
        <f t="shared" si="12"/>
        <v>Please select an account</v>
      </c>
      <c r="B432" s="24" t="str">
        <f t="shared" si="13"/>
        <v>Please enter a date</v>
      </c>
      <c r="C432" s="11"/>
      <c r="D432" s="12"/>
      <c r="E432" s="6"/>
      <c r="F432" s="13"/>
      <c r="G432" s="9"/>
      <c r="H432" s="7"/>
      <c r="I432" s="7"/>
    </row>
    <row r="433" spans="1:9" x14ac:dyDescent="0.25">
      <c r="A433" s="23" t="str">
        <f t="shared" si="12"/>
        <v>Please select an account</v>
      </c>
      <c r="B433" s="24" t="str">
        <f t="shared" si="13"/>
        <v>Please enter a date</v>
      </c>
      <c r="C433" s="11"/>
      <c r="D433" s="12"/>
      <c r="E433" s="6"/>
      <c r="F433" s="13"/>
      <c r="G433" s="9"/>
      <c r="H433" s="7"/>
      <c r="I433" s="7"/>
    </row>
    <row r="434" spans="1:9" x14ac:dyDescent="0.25">
      <c r="A434" s="23" t="str">
        <f t="shared" si="12"/>
        <v>Please select an account</v>
      </c>
      <c r="B434" s="24" t="str">
        <f t="shared" si="13"/>
        <v>Please enter a date</v>
      </c>
      <c r="C434" s="11"/>
      <c r="D434" s="12"/>
      <c r="E434" s="6"/>
      <c r="F434" s="13"/>
      <c r="G434" s="9"/>
      <c r="H434" s="7"/>
      <c r="I434" s="7"/>
    </row>
    <row r="435" spans="1:9" x14ac:dyDescent="0.25">
      <c r="A435" s="23" t="str">
        <f t="shared" si="12"/>
        <v>Please select an account</v>
      </c>
      <c r="B435" s="24" t="str">
        <f t="shared" si="13"/>
        <v>Please enter a date</v>
      </c>
      <c r="C435" s="11"/>
      <c r="D435" s="12"/>
      <c r="E435" s="6"/>
      <c r="F435" s="13"/>
      <c r="G435" s="9"/>
      <c r="H435" s="7"/>
      <c r="I435" s="7"/>
    </row>
    <row r="436" spans="1:9" x14ac:dyDescent="0.25">
      <c r="A436" s="23" t="str">
        <f t="shared" si="12"/>
        <v>Please select an account</v>
      </c>
      <c r="B436" s="24" t="str">
        <f t="shared" si="13"/>
        <v>Please enter a date</v>
      </c>
      <c r="C436" s="11"/>
      <c r="D436" s="12"/>
      <c r="E436" s="6"/>
      <c r="F436" s="13"/>
      <c r="G436" s="9"/>
      <c r="H436" s="7"/>
      <c r="I436" s="7"/>
    </row>
    <row r="437" spans="1:9" x14ac:dyDescent="0.25">
      <c r="A437" s="23" t="str">
        <f t="shared" si="12"/>
        <v>Please select an account</v>
      </c>
      <c r="B437" s="24" t="str">
        <f t="shared" si="13"/>
        <v>Please enter a date</v>
      </c>
      <c r="C437" s="11"/>
      <c r="D437" s="12"/>
      <c r="E437" s="6"/>
      <c r="F437" s="13"/>
      <c r="G437" s="9"/>
      <c r="H437" s="7"/>
      <c r="I437" s="7"/>
    </row>
    <row r="438" spans="1:9" x14ac:dyDescent="0.25">
      <c r="A438" s="23" t="str">
        <f t="shared" si="12"/>
        <v>Please select an account</v>
      </c>
      <c r="B438" s="24" t="str">
        <f t="shared" si="13"/>
        <v>Please enter a date</v>
      </c>
      <c r="C438" s="11"/>
      <c r="D438" s="12"/>
      <c r="E438" s="6"/>
      <c r="F438" s="13"/>
      <c r="G438" s="9"/>
      <c r="H438" s="7"/>
      <c r="I438" s="7"/>
    </row>
    <row r="439" spans="1:9" x14ac:dyDescent="0.25">
      <c r="A439" s="23" t="str">
        <f t="shared" si="12"/>
        <v>Please select an account</v>
      </c>
      <c r="B439" s="24" t="str">
        <f t="shared" si="13"/>
        <v>Please enter a date</v>
      </c>
      <c r="C439" s="11"/>
      <c r="D439" s="12"/>
      <c r="E439" s="6"/>
      <c r="F439" s="13"/>
      <c r="G439" s="9"/>
      <c r="H439" s="7"/>
      <c r="I439" s="7"/>
    </row>
    <row r="440" spans="1:9" x14ac:dyDescent="0.25">
      <c r="A440" s="23" t="str">
        <f t="shared" si="12"/>
        <v>Please select an account</v>
      </c>
      <c r="B440" s="24" t="str">
        <f t="shared" si="13"/>
        <v>Please enter a date</v>
      </c>
      <c r="C440" s="11"/>
      <c r="D440" s="12"/>
      <c r="E440" s="6"/>
      <c r="F440" s="13"/>
      <c r="G440" s="9"/>
      <c r="H440" s="7"/>
      <c r="I440" s="7"/>
    </row>
    <row r="441" spans="1:9" x14ac:dyDescent="0.25">
      <c r="A441" s="23" t="str">
        <f t="shared" si="12"/>
        <v>Please select an account</v>
      </c>
      <c r="B441" s="24" t="str">
        <f t="shared" si="13"/>
        <v>Please enter a date</v>
      </c>
      <c r="C441" s="11"/>
      <c r="D441" s="12"/>
      <c r="E441" s="6"/>
      <c r="F441" s="13"/>
      <c r="G441" s="9"/>
      <c r="H441" s="7"/>
      <c r="I441" s="7"/>
    </row>
    <row r="442" spans="1:9" x14ac:dyDescent="0.25">
      <c r="A442" s="23" t="str">
        <f t="shared" si="12"/>
        <v>Please select an account</v>
      </c>
      <c r="B442" s="24" t="str">
        <f t="shared" si="13"/>
        <v>Please enter a date</v>
      </c>
      <c r="C442" s="11"/>
      <c r="D442" s="12"/>
      <c r="E442" s="6"/>
      <c r="F442" s="13"/>
      <c r="G442" s="9"/>
      <c r="H442" s="7"/>
      <c r="I442" s="7"/>
    </row>
    <row r="443" spans="1:9" x14ac:dyDescent="0.25">
      <c r="A443" s="23" t="str">
        <f t="shared" si="12"/>
        <v>Please select an account</v>
      </c>
      <c r="B443" s="24" t="str">
        <f t="shared" si="13"/>
        <v>Please enter a date</v>
      </c>
      <c r="C443" s="11"/>
      <c r="D443" s="12"/>
      <c r="E443" s="6"/>
      <c r="F443" s="13"/>
      <c r="G443" s="9"/>
      <c r="H443" s="7"/>
      <c r="I443" s="7"/>
    </row>
    <row r="444" spans="1:9" x14ac:dyDescent="0.25">
      <c r="A444" s="23" t="str">
        <f t="shared" si="12"/>
        <v>Please select an account</v>
      </c>
      <c r="B444" s="24" t="str">
        <f t="shared" si="13"/>
        <v>Please enter a date</v>
      </c>
      <c r="C444" s="11"/>
      <c r="D444" s="12"/>
      <c r="E444" s="6"/>
      <c r="F444" s="13"/>
      <c r="G444" s="9"/>
      <c r="H444" s="7"/>
      <c r="I444" s="7"/>
    </row>
    <row r="445" spans="1:9" x14ac:dyDescent="0.25">
      <c r="A445" s="23" t="str">
        <f t="shared" si="12"/>
        <v>Please select an account</v>
      </c>
      <c r="B445" s="24" t="str">
        <f t="shared" si="13"/>
        <v>Please enter a date</v>
      </c>
      <c r="C445" s="11"/>
      <c r="D445" s="12"/>
      <c r="E445" s="6"/>
      <c r="F445" s="13"/>
      <c r="G445" s="9"/>
      <c r="H445" s="7"/>
      <c r="I445" s="7"/>
    </row>
    <row r="446" spans="1:9" x14ac:dyDescent="0.25">
      <c r="A446" s="23" t="str">
        <f t="shared" si="12"/>
        <v>Please select an account</v>
      </c>
      <c r="B446" s="24" t="str">
        <f t="shared" si="13"/>
        <v>Please enter a date</v>
      </c>
      <c r="C446" s="11"/>
      <c r="D446" s="12"/>
      <c r="E446" s="6"/>
      <c r="F446" s="13"/>
      <c r="G446" s="9"/>
      <c r="H446" s="7"/>
      <c r="I446" s="7"/>
    </row>
    <row r="447" spans="1:9" x14ac:dyDescent="0.25">
      <c r="A447" s="23" t="str">
        <f t="shared" si="12"/>
        <v>Please select an account</v>
      </c>
      <c r="B447" s="24" t="str">
        <f t="shared" si="13"/>
        <v>Please enter a date</v>
      </c>
      <c r="C447" s="11"/>
      <c r="D447" s="12"/>
      <c r="E447" s="6"/>
      <c r="F447" s="13"/>
      <c r="G447" s="9"/>
      <c r="H447" s="7"/>
      <c r="I447" s="7"/>
    </row>
    <row r="448" spans="1:9" x14ac:dyDescent="0.25">
      <c r="A448" s="23" t="str">
        <f t="shared" si="12"/>
        <v>Please select an account</v>
      </c>
      <c r="B448" s="24" t="str">
        <f t="shared" si="13"/>
        <v>Please enter a date</v>
      </c>
      <c r="C448" s="11"/>
      <c r="D448" s="12"/>
      <c r="E448" s="6"/>
      <c r="F448" s="13"/>
      <c r="G448" s="9"/>
      <c r="H448" s="7"/>
      <c r="I448" s="7"/>
    </row>
    <row r="449" spans="1:9" x14ac:dyDescent="0.25">
      <c r="A449" s="23" t="str">
        <f t="shared" si="12"/>
        <v>Please select an account</v>
      </c>
      <c r="B449" s="24" t="str">
        <f t="shared" si="13"/>
        <v>Please enter a date</v>
      </c>
      <c r="C449" s="11"/>
      <c r="D449" s="12"/>
      <c r="E449" s="6"/>
      <c r="F449" s="13"/>
      <c r="G449" s="9"/>
      <c r="H449" s="7"/>
      <c r="I449" s="7"/>
    </row>
    <row r="450" spans="1:9" x14ac:dyDescent="0.25">
      <c r="A450" s="23" t="str">
        <f t="shared" si="12"/>
        <v>Please select an account</v>
      </c>
      <c r="B450" s="24" t="str">
        <f t="shared" si="13"/>
        <v>Please enter a date</v>
      </c>
      <c r="C450" s="11"/>
      <c r="D450" s="12"/>
      <c r="E450" s="6"/>
      <c r="F450" s="13"/>
      <c r="G450" s="9"/>
      <c r="H450" s="7"/>
      <c r="I450" s="7"/>
    </row>
    <row r="451" spans="1:9" x14ac:dyDescent="0.25">
      <c r="A451" s="23" t="str">
        <f t="shared" si="12"/>
        <v>Please select an account</v>
      </c>
      <c r="B451" s="24" t="str">
        <f t="shared" si="13"/>
        <v>Please enter a date</v>
      </c>
      <c r="C451" s="11"/>
      <c r="D451" s="12"/>
      <c r="E451" s="6"/>
      <c r="F451" s="13"/>
      <c r="G451" s="9"/>
      <c r="H451" s="7"/>
      <c r="I451" s="7"/>
    </row>
    <row r="452" spans="1:9" x14ac:dyDescent="0.25">
      <c r="A452" s="23" t="str">
        <f t="shared" si="12"/>
        <v>Please select an account</v>
      </c>
      <c r="B452" s="24" t="str">
        <f t="shared" si="13"/>
        <v>Please enter a date</v>
      </c>
      <c r="C452" s="11"/>
      <c r="D452" s="12"/>
      <c r="E452" s="6"/>
      <c r="F452" s="13"/>
      <c r="G452" s="9"/>
      <c r="H452" s="7"/>
      <c r="I452" s="7"/>
    </row>
    <row r="453" spans="1:9" x14ac:dyDescent="0.25">
      <c r="A453" s="23" t="str">
        <f t="shared" si="12"/>
        <v>Please select an account</v>
      </c>
      <c r="B453" s="24" t="str">
        <f t="shared" si="13"/>
        <v>Please enter a date</v>
      </c>
      <c r="C453" s="11"/>
      <c r="D453" s="12"/>
      <c r="E453" s="6"/>
      <c r="F453" s="13"/>
      <c r="G453" s="9"/>
      <c r="H453" s="7"/>
      <c r="I453" s="7"/>
    </row>
    <row r="454" spans="1:9" x14ac:dyDescent="0.25">
      <c r="A454" s="23" t="str">
        <f t="shared" ref="A454:A505" si="14">IF($A$2=0,"Please select an account",$A$2)</f>
        <v>Please select an account</v>
      </c>
      <c r="B454" s="24" t="str">
        <f t="shared" ref="B454:B505" si="15">IF(TEXT($B$2,"YYYY-MM-DD")&lt;&gt;"1900-01-00",TEXT($B$2,"YYYY-MM-DD"),"Please enter a date")</f>
        <v>Please enter a date</v>
      </c>
      <c r="C454" s="11"/>
      <c r="D454" s="12"/>
      <c r="E454" s="6"/>
      <c r="F454" s="13"/>
      <c r="G454" s="9"/>
      <c r="H454" s="7"/>
      <c r="I454" s="7"/>
    </row>
    <row r="455" spans="1:9" x14ac:dyDescent="0.25">
      <c r="A455" s="23" t="str">
        <f t="shared" si="14"/>
        <v>Please select an account</v>
      </c>
      <c r="B455" s="24" t="str">
        <f t="shared" si="15"/>
        <v>Please enter a date</v>
      </c>
      <c r="C455" s="11"/>
      <c r="D455" s="12"/>
      <c r="E455" s="6"/>
      <c r="F455" s="13"/>
      <c r="G455" s="9"/>
      <c r="H455" s="7"/>
      <c r="I455" s="7"/>
    </row>
    <row r="456" spans="1:9" x14ac:dyDescent="0.25">
      <c r="A456" s="23" t="str">
        <f t="shared" si="14"/>
        <v>Please select an account</v>
      </c>
      <c r="B456" s="24" t="str">
        <f t="shared" si="15"/>
        <v>Please enter a date</v>
      </c>
      <c r="C456" s="11"/>
      <c r="D456" s="12"/>
      <c r="E456" s="6"/>
      <c r="F456" s="13"/>
      <c r="G456" s="9"/>
      <c r="H456" s="7"/>
      <c r="I456" s="7"/>
    </row>
    <row r="457" spans="1:9" x14ac:dyDescent="0.25">
      <c r="A457" s="23" t="str">
        <f t="shared" si="14"/>
        <v>Please select an account</v>
      </c>
      <c r="B457" s="24" t="str">
        <f t="shared" si="15"/>
        <v>Please enter a date</v>
      </c>
      <c r="C457" s="11"/>
      <c r="D457" s="12"/>
      <c r="E457" s="6"/>
      <c r="F457" s="13"/>
      <c r="G457" s="9"/>
      <c r="H457" s="7"/>
      <c r="I457" s="7"/>
    </row>
    <row r="458" spans="1:9" x14ac:dyDescent="0.25">
      <c r="A458" s="23" t="str">
        <f t="shared" si="14"/>
        <v>Please select an account</v>
      </c>
      <c r="B458" s="24" t="str">
        <f t="shared" si="15"/>
        <v>Please enter a date</v>
      </c>
      <c r="C458" s="11"/>
      <c r="D458" s="12"/>
      <c r="E458" s="6"/>
      <c r="F458" s="13"/>
      <c r="G458" s="9"/>
      <c r="H458" s="7"/>
      <c r="I458" s="7"/>
    </row>
    <row r="459" spans="1:9" x14ac:dyDescent="0.25">
      <c r="A459" s="23" t="str">
        <f t="shared" si="14"/>
        <v>Please select an account</v>
      </c>
      <c r="B459" s="24" t="str">
        <f t="shared" si="15"/>
        <v>Please enter a date</v>
      </c>
      <c r="C459" s="11"/>
      <c r="D459" s="12"/>
      <c r="E459" s="6"/>
      <c r="F459" s="13"/>
      <c r="G459" s="9"/>
      <c r="H459" s="7"/>
      <c r="I459" s="7"/>
    </row>
    <row r="460" spans="1:9" x14ac:dyDescent="0.25">
      <c r="A460" s="23" t="str">
        <f t="shared" si="14"/>
        <v>Please select an account</v>
      </c>
      <c r="B460" s="24" t="str">
        <f t="shared" si="15"/>
        <v>Please enter a date</v>
      </c>
      <c r="C460" s="11"/>
      <c r="D460" s="12"/>
      <c r="E460" s="6"/>
      <c r="F460" s="13"/>
      <c r="G460" s="9"/>
      <c r="H460" s="7"/>
      <c r="I460" s="7"/>
    </row>
    <row r="461" spans="1:9" x14ac:dyDescent="0.25">
      <c r="A461" s="23" t="str">
        <f t="shared" si="14"/>
        <v>Please select an account</v>
      </c>
      <c r="B461" s="24" t="str">
        <f t="shared" si="15"/>
        <v>Please enter a date</v>
      </c>
      <c r="C461" s="11"/>
      <c r="D461" s="12"/>
      <c r="E461" s="6"/>
      <c r="F461" s="13"/>
      <c r="G461" s="9"/>
      <c r="H461" s="7"/>
      <c r="I461" s="7"/>
    </row>
    <row r="462" spans="1:9" x14ac:dyDescent="0.25">
      <c r="A462" s="23" t="str">
        <f t="shared" si="14"/>
        <v>Please select an account</v>
      </c>
      <c r="B462" s="24" t="str">
        <f t="shared" si="15"/>
        <v>Please enter a date</v>
      </c>
      <c r="C462" s="11"/>
      <c r="D462" s="12"/>
      <c r="E462" s="6"/>
      <c r="F462" s="13"/>
      <c r="G462" s="9"/>
      <c r="H462" s="7"/>
      <c r="I462" s="7"/>
    </row>
    <row r="463" spans="1:9" x14ac:dyDescent="0.25">
      <c r="A463" s="23" t="str">
        <f t="shared" si="14"/>
        <v>Please select an account</v>
      </c>
      <c r="B463" s="24" t="str">
        <f t="shared" si="15"/>
        <v>Please enter a date</v>
      </c>
      <c r="C463" s="11"/>
      <c r="D463" s="12"/>
      <c r="E463" s="6"/>
      <c r="F463" s="13"/>
      <c r="G463" s="9"/>
      <c r="H463" s="7"/>
      <c r="I463" s="7"/>
    </row>
    <row r="464" spans="1:9" x14ac:dyDescent="0.25">
      <c r="A464" s="23" t="str">
        <f t="shared" si="14"/>
        <v>Please select an account</v>
      </c>
      <c r="B464" s="24" t="str">
        <f t="shared" si="15"/>
        <v>Please enter a date</v>
      </c>
      <c r="C464" s="11"/>
      <c r="D464" s="12"/>
      <c r="E464" s="6"/>
      <c r="F464" s="13"/>
      <c r="G464" s="9"/>
      <c r="H464" s="7"/>
      <c r="I464" s="7"/>
    </row>
    <row r="465" spans="1:9" x14ac:dyDescent="0.25">
      <c r="A465" s="23" t="str">
        <f t="shared" si="14"/>
        <v>Please select an account</v>
      </c>
      <c r="B465" s="24" t="str">
        <f t="shared" si="15"/>
        <v>Please enter a date</v>
      </c>
      <c r="C465" s="11"/>
      <c r="D465" s="12"/>
      <c r="E465" s="6"/>
      <c r="F465" s="13"/>
      <c r="G465" s="9"/>
      <c r="H465" s="7"/>
      <c r="I465" s="7"/>
    </row>
    <row r="466" spans="1:9" x14ac:dyDescent="0.25">
      <c r="A466" s="23" t="str">
        <f t="shared" si="14"/>
        <v>Please select an account</v>
      </c>
      <c r="B466" s="24" t="str">
        <f t="shared" si="15"/>
        <v>Please enter a date</v>
      </c>
      <c r="C466" s="11"/>
      <c r="D466" s="12"/>
      <c r="E466" s="6"/>
      <c r="F466" s="13"/>
      <c r="G466" s="9"/>
      <c r="H466" s="7"/>
      <c r="I466" s="7"/>
    </row>
    <row r="467" spans="1:9" x14ac:dyDescent="0.25">
      <c r="A467" s="23" t="str">
        <f t="shared" si="14"/>
        <v>Please select an account</v>
      </c>
      <c r="B467" s="24" t="str">
        <f t="shared" si="15"/>
        <v>Please enter a date</v>
      </c>
      <c r="C467" s="11"/>
      <c r="D467" s="12"/>
      <c r="E467" s="6"/>
      <c r="F467" s="13"/>
      <c r="G467" s="9"/>
      <c r="H467" s="7"/>
      <c r="I467" s="7"/>
    </row>
    <row r="468" spans="1:9" x14ac:dyDescent="0.25">
      <c r="A468" s="23" t="str">
        <f t="shared" si="14"/>
        <v>Please select an account</v>
      </c>
      <c r="B468" s="24" t="str">
        <f t="shared" si="15"/>
        <v>Please enter a date</v>
      </c>
      <c r="C468" s="11"/>
      <c r="D468" s="12"/>
      <c r="E468" s="6"/>
      <c r="F468" s="13"/>
      <c r="G468" s="9"/>
      <c r="H468" s="7"/>
      <c r="I468" s="7"/>
    </row>
    <row r="469" spans="1:9" x14ac:dyDescent="0.25">
      <c r="A469" s="23" t="str">
        <f t="shared" si="14"/>
        <v>Please select an account</v>
      </c>
      <c r="B469" s="24" t="str">
        <f t="shared" si="15"/>
        <v>Please enter a date</v>
      </c>
      <c r="C469" s="11"/>
      <c r="D469" s="12"/>
      <c r="E469" s="6"/>
      <c r="F469" s="13"/>
      <c r="G469" s="9"/>
      <c r="H469" s="7"/>
      <c r="I469" s="7"/>
    </row>
    <row r="470" spans="1:9" x14ac:dyDescent="0.25">
      <c r="A470" s="23" t="str">
        <f t="shared" si="14"/>
        <v>Please select an account</v>
      </c>
      <c r="B470" s="24" t="str">
        <f t="shared" si="15"/>
        <v>Please enter a date</v>
      </c>
      <c r="C470" s="11"/>
      <c r="D470" s="12"/>
      <c r="E470" s="6"/>
      <c r="F470" s="13"/>
      <c r="G470" s="9"/>
      <c r="H470" s="7"/>
      <c r="I470" s="7"/>
    </row>
    <row r="471" spans="1:9" x14ac:dyDescent="0.25">
      <c r="A471" s="23" t="str">
        <f t="shared" si="14"/>
        <v>Please select an account</v>
      </c>
      <c r="B471" s="24" t="str">
        <f t="shared" si="15"/>
        <v>Please enter a date</v>
      </c>
      <c r="C471" s="11"/>
      <c r="D471" s="12"/>
      <c r="E471" s="6"/>
      <c r="F471" s="13"/>
      <c r="G471" s="9"/>
      <c r="H471" s="7"/>
      <c r="I471" s="7"/>
    </row>
    <row r="472" spans="1:9" x14ac:dyDescent="0.25">
      <c r="A472" s="23" t="str">
        <f t="shared" si="14"/>
        <v>Please select an account</v>
      </c>
      <c r="B472" s="24" t="str">
        <f t="shared" si="15"/>
        <v>Please enter a date</v>
      </c>
      <c r="C472" s="11"/>
      <c r="D472" s="12"/>
      <c r="E472" s="6"/>
      <c r="F472" s="13"/>
      <c r="G472" s="9"/>
      <c r="H472" s="7"/>
      <c r="I472" s="7"/>
    </row>
    <row r="473" spans="1:9" x14ac:dyDescent="0.25">
      <c r="A473" s="23" t="str">
        <f t="shared" si="14"/>
        <v>Please select an account</v>
      </c>
      <c r="B473" s="24" t="str">
        <f t="shared" si="15"/>
        <v>Please enter a date</v>
      </c>
      <c r="C473" s="11"/>
      <c r="D473" s="12"/>
      <c r="E473" s="6"/>
      <c r="F473" s="13"/>
      <c r="G473" s="9"/>
      <c r="H473" s="7"/>
      <c r="I473" s="7"/>
    </row>
    <row r="474" spans="1:9" x14ac:dyDescent="0.25">
      <c r="A474" s="23" t="str">
        <f t="shared" si="14"/>
        <v>Please select an account</v>
      </c>
      <c r="B474" s="24" t="str">
        <f t="shared" si="15"/>
        <v>Please enter a date</v>
      </c>
      <c r="C474" s="11"/>
      <c r="D474" s="12"/>
      <c r="E474" s="6"/>
      <c r="F474" s="13"/>
      <c r="G474" s="9"/>
      <c r="H474" s="7"/>
      <c r="I474" s="7"/>
    </row>
    <row r="475" spans="1:9" x14ac:dyDescent="0.25">
      <c r="A475" s="23" t="str">
        <f t="shared" si="14"/>
        <v>Please select an account</v>
      </c>
      <c r="B475" s="24" t="str">
        <f t="shared" si="15"/>
        <v>Please enter a date</v>
      </c>
      <c r="C475" s="11"/>
      <c r="D475" s="12"/>
      <c r="E475" s="6"/>
      <c r="F475" s="13"/>
      <c r="G475" s="9"/>
      <c r="H475" s="7"/>
      <c r="I475" s="7"/>
    </row>
    <row r="476" spans="1:9" x14ac:dyDescent="0.25">
      <c r="A476" s="23" t="str">
        <f t="shared" si="14"/>
        <v>Please select an account</v>
      </c>
      <c r="B476" s="24" t="str">
        <f t="shared" si="15"/>
        <v>Please enter a date</v>
      </c>
      <c r="C476" s="11"/>
      <c r="D476" s="12"/>
      <c r="E476" s="6"/>
      <c r="F476" s="13"/>
      <c r="G476" s="9"/>
      <c r="H476" s="7"/>
      <c r="I476" s="7"/>
    </row>
    <row r="477" spans="1:9" x14ac:dyDescent="0.25">
      <c r="A477" s="23" t="str">
        <f t="shared" si="14"/>
        <v>Please select an account</v>
      </c>
      <c r="B477" s="24" t="str">
        <f t="shared" si="15"/>
        <v>Please enter a date</v>
      </c>
      <c r="C477" s="11"/>
      <c r="D477" s="12"/>
      <c r="E477" s="6"/>
      <c r="F477" s="13"/>
      <c r="G477" s="9"/>
      <c r="H477" s="7"/>
      <c r="I477" s="7"/>
    </row>
    <row r="478" spans="1:9" x14ac:dyDescent="0.25">
      <c r="A478" s="23" t="str">
        <f t="shared" si="14"/>
        <v>Please select an account</v>
      </c>
      <c r="B478" s="24" t="str">
        <f t="shared" si="15"/>
        <v>Please enter a date</v>
      </c>
      <c r="C478" s="11"/>
      <c r="D478" s="12"/>
      <c r="E478" s="6"/>
      <c r="F478" s="13"/>
      <c r="G478" s="9"/>
      <c r="H478" s="7"/>
      <c r="I478" s="7"/>
    </row>
    <row r="479" spans="1:9" x14ac:dyDescent="0.25">
      <c r="A479" s="23" t="str">
        <f t="shared" si="14"/>
        <v>Please select an account</v>
      </c>
      <c r="B479" s="24" t="str">
        <f t="shared" si="15"/>
        <v>Please enter a date</v>
      </c>
      <c r="C479" s="11"/>
      <c r="D479" s="12"/>
      <c r="E479" s="6"/>
      <c r="F479" s="13"/>
      <c r="G479" s="9"/>
      <c r="H479" s="7"/>
      <c r="I479" s="7"/>
    </row>
    <row r="480" spans="1:9" x14ac:dyDescent="0.25">
      <c r="A480" s="23" t="str">
        <f t="shared" si="14"/>
        <v>Please select an account</v>
      </c>
      <c r="B480" s="24" t="str">
        <f t="shared" si="15"/>
        <v>Please enter a date</v>
      </c>
      <c r="C480" s="11"/>
      <c r="D480" s="12"/>
      <c r="E480" s="6"/>
      <c r="F480" s="13"/>
      <c r="G480" s="9"/>
      <c r="H480" s="7"/>
      <c r="I480" s="7"/>
    </row>
    <row r="481" spans="1:9" x14ac:dyDescent="0.25">
      <c r="A481" s="23" t="str">
        <f t="shared" si="14"/>
        <v>Please select an account</v>
      </c>
      <c r="B481" s="24" t="str">
        <f t="shared" si="15"/>
        <v>Please enter a date</v>
      </c>
      <c r="C481" s="11"/>
      <c r="D481" s="12"/>
      <c r="E481" s="6"/>
      <c r="F481" s="13"/>
      <c r="G481" s="9"/>
      <c r="H481" s="7"/>
      <c r="I481" s="7"/>
    </row>
    <row r="482" spans="1:9" x14ac:dyDescent="0.25">
      <c r="A482" s="23" t="str">
        <f t="shared" si="14"/>
        <v>Please select an account</v>
      </c>
      <c r="B482" s="24" t="str">
        <f t="shared" si="15"/>
        <v>Please enter a date</v>
      </c>
      <c r="C482" s="11"/>
      <c r="D482" s="12"/>
      <c r="E482" s="6"/>
      <c r="F482" s="13"/>
      <c r="G482" s="9"/>
      <c r="H482" s="7"/>
      <c r="I482" s="7"/>
    </row>
    <row r="483" spans="1:9" x14ac:dyDescent="0.25">
      <c r="A483" s="23" t="str">
        <f t="shared" si="14"/>
        <v>Please select an account</v>
      </c>
      <c r="B483" s="24" t="str">
        <f t="shared" si="15"/>
        <v>Please enter a date</v>
      </c>
      <c r="C483" s="11"/>
      <c r="D483" s="12"/>
      <c r="E483" s="6"/>
      <c r="F483" s="13"/>
      <c r="G483" s="9"/>
      <c r="H483" s="7"/>
      <c r="I483" s="7"/>
    </row>
    <row r="484" spans="1:9" x14ac:dyDescent="0.25">
      <c r="A484" s="23" t="str">
        <f t="shared" si="14"/>
        <v>Please select an account</v>
      </c>
      <c r="B484" s="24" t="str">
        <f t="shared" si="15"/>
        <v>Please enter a date</v>
      </c>
      <c r="C484" s="11"/>
      <c r="D484" s="12"/>
      <c r="E484" s="6"/>
      <c r="F484" s="13"/>
      <c r="G484" s="9"/>
      <c r="H484" s="7"/>
      <c r="I484" s="7"/>
    </row>
    <row r="485" spans="1:9" x14ac:dyDescent="0.25">
      <c r="A485" s="23" t="str">
        <f t="shared" si="14"/>
        <v>Please select an account</v>
      </c>
      <c r="B485" s="24" t="str">
        <f t="shared" si="15"/>
        <v>Please enter a date</v>
      </c>
      <c r="C485" s="11"/>
      <c r="D485" s="12"/>
      <c r="E485" s="6"/>
      <c r="F485" s="13"/>
      <c r="G485" s="9"/>
      <c r="H485" s="7"/>
      <c r="I485" s="7"/>
    </row>
    <row r="486" spans="1:9" x14ac:dyDescent="0.25">
      <c r="A486" s="23" t="str">
        <f t="shared" si="14"/>
        <v>Please select an account</v>
      </c>
      <c r="B486" s="24" t="str">
        <f t="shared" si="15"/>
        <v>Please enter a date</v>
      </c>
      <c r="C486" s="11"/>
      <c r="D486" s="12"/>
      <c r="E486" s="6"/>
      <c r="F486" s="13"/>
      <c r="G486" s="9"/>
      <c r="H486" s="7"/>
      <c r="I486" s="7"/>
    </row>
    <row r="487" spans="1:9" x14ac:dyDescent="0.25">
      <c r="A487" s="23" t="str">
        <f t="shared" si="14"/>
        <v>Please select an account</v>
      </c>
      <c r="B487" s="24" t="str">
        <f t="shared" si="15"/>
        <v>Please enter a date</v>
      </c>
      <c r="C487" s="11"/>
      <c r="D487" s="12"/>
      <c r="E487" s="6"/>
      <c r="F487" s="13"/>
      <c r="G487" s="9"/>
      <c r="H487" s="7"/>
      <c r="I487" s="7"/>
    </row>
    <row r="488" spans="1:9" x14ac:dyDescent="0.25">
      <c r="A488" s="23" t="str">
        <f t="shared" si="14"/>
        <v>Please select an account</v>
      </c>
      <c r="B488" s="24" t="str">
        <f t="shared" si="15"/>
        <v>Please enter a date</v>
      </c>
      <c r="C488" s="11"/>
      <c r="D488" s="12"/>
      <c r="E488" s="6"/>
      <c r="F488" s="13"/>
      <c r="G488" s="9"/>
      <c r="H488" s="7"/>
      <c r="I488" s="7"/>
    </row>
    <row r="489" spans="1:9" x14ac:dyDescent="0.25">
      <c r="A489" s="23" t="str">
        <f t="shared" si="14"/>
        <v>Please select an account</v>
      </c>
      <c r="B489" s="24" t="str">
        <f t="shared" si="15"/>
        <v>Please enter a date</v>
      </c>
      <c r="C489" s="11"/>
      <c r="D489" s="12"/>
      <c r="E489" s="6"/>
      <c r="F489" s="13"/>
      <c r="G489" s="9"/>
      <c r="H489" s="7"/>
      <c r="I489" s="7"/>
    </row>
    <row r="490" spans="1:9" x14ac:dyDescent="0.25">
      <c r="A490" s="23" t="str">
        <f t="shared" si="14"/>
        <v>Please select an account</v>
      </c>
      <c r="B490" s="24" t="str">
        <f t="shared" si="15"/>
        <v>Please enter a date</v>
      </c>
      <c r="C490" s="11"/>
      <c r="D490" s="12"/>
      <c r="E490" s="6"/>
      <c r="F490" s="13"/>
      <c r="G490" s="9"/>
      <c r="H490" s="7"/>
      <c r="I490" s="7"/>
    </row>
    <row r="491" spans="1:9" x14ac:dyDescent="0.25">
      <c r="A491" s="23" t="str">
        <f t="shared" si="14"/>
        <v>Please select an account</v>
      </c>
      <c r="B491" s="24" t="str">
        <f t="shared" si="15"/>
        <v>Please enter a date</v>
      </c>
      <c r="C491" s="11"/>
      <c r="D491" s="12"/>
      <c r="E491" s="6"/>
      <c r="F491" s="13"/>
      <c r="G491" s="9"/>
      <c r="H491" s="7"/>
      <c r="I491" s="7"/>
    </row>
    <row r="492" spans="1:9" x14ac:dyDescent="0.25">
      <c r="A492" s="23" t="str">
        <f t="shared" si="14"/>
        <v>Please select an account</v>
      </c>
      <c r="B492" s="24" t="str">
        <f t="shared" si="15"/>
        <v>Please enter a date</v>
      </c>
      <c r="C492" s="11"/>
      <c r="D492" s="12"/>
      <c r="E492" s="6"/>
      <c r="F492" s="13"/>
      <c r="G492" s="9"/>
      <c r="H492" s="7"/>
      <c r="I492" s="7"/>
    </row>
    <row r="493" spans="1:9" x14ac:dyDescent="0.25">
      <c r="A493" s="23" t="str">
        <f t="shared" si="14"/>
        <v>Please select an account</v>
      </c>
      <c r="B493" s="24" t="str">
        <f t="shared" si="15"/>
        <v>Please enter a date</v>
      </c>
      <c r="C493" s="11"/>
      <c r="D493" s="12"/>
      <c r="E493" s="6"/>
      <c r="F493" s="13"/>
      <c r="G493" s="9"/>
      <c r="H493" s="7"/>
      <c r="I493" s="7"/>
    </row>
    <row r="494" spans="1:9" x14ac:dyDescent="0.25">
      <c r="A494" s="23" t="str">
        <f t="shared" si="14"/>
        <v>Please select an account</v>
      </c>
      <c r="B494" s="24" t="str">
        <f t="shared" si="15"/>
        <v>Please enter a date</v>
      </c>
      <c r="C494" s="11"/>
      <c r="D494" s="12"/>
      <c r="E494" s="6"/>
      <c r="F494" s="13"/>
      <c r="G494" s="9"/>
      <c r="H494" s="7"/>
      <c r="I494" s="7"/>
    </row>
    <row r="495" spans="1:9" x14ac:dyDescent="0.25">
      <c r="A495" s="23" t="str">
        <f t="shared" si="14"/>
        <v>Please select an account</v>
      </c>
      <c r="B495" s="24" t="str">
        <f t="shared" si="15"/>
        <v>Please enter a date</v>
      </c>
      <c r="C495" s="11"/>
      <c r="D495" s="12"/>
      <c r="E495" s="6"/>
      <c r="F495" s="13"/>
      <c r="G495" s="9"/>
      <c r="H495" s="7"/>
      <c r="I495" s="7"/>
    </row>
    <row r="496" spans="1:9" x14ac:dyDescent="0.25">
      <c r="A496" s="23" t="str">
        <f t="shared" si="14"/>
        <v>Please select an account</v>
      </c>
      <c r="B496" s="24" t="str">
        <f t="shared" si="15"/>
        <v>Please enter a date</v>
      </c>
      <c r="C496" s="11"/>
      <c r="D496" s="12"/>
      <c r="E496" s="6"/>
      <c r="F496" s="13"/>
      <c r="G496" s="9"/>
      <c r="H496" s="7"/>
      <c r="I496" s="7"/>
    </row>
    <row r="497" spans="1:9" x14ac:dyDescent="0.25">
      <c r="A497" s="23" t="str">
        <f t="shared" si="14"/>
        <v>Please select an account</v>
      </c>
      <c r="B497" s="24" t="str">
        <f t="shared" si="15"/>
        <v>Please enter a date</v>
      </c>
      <c r="C497" s="11"/>
      <c r="D497" s="12"/>
      <c r="E497" s="6"/>
      <c r="F497" s="13"/>
      <c r="G497" s="9"/>
      <c r="H497" s="7"/>
      <c r="I497" s="7"/>
    </row>
    <row r="498" spans="1:9" x14ac:dyDescent="0.25">
      <c r="A498" s="23" t="str">
        <f t="shared" si="14"/>
        <v>Please select an account</v>
      </c>
      <c r="B498" s="24" t="str">
        <f t="shared" si="15"/>
        <v>Please enter a date</v>
      </c>
      <c r="C498" s="11"/>
      <c r="D498" s="12"/>
      <c r="E498" s="6"/>
      <c r="F498" s="13"/>
      <c r="G498" s="9"/>
      <c r="H498" s="7"/>
      <c r="I498" s="7"/>
    </row>
    <row r="499" spans="1:9" x14ac:dyDescent="0.25">
      <c r="A499" s="23" t="str">
        <f t="shared" si="14"/>
        <v>Please select an account</v>
      </c>
      <c r="B499" s="24" t="str">
        <f t="shared" si="15"/>
        <v>Please enter a date</v>
      </c>
      <c r="C499" s="11"/>
      <c r="D499" s="12"/>
      <c r="E499" s="6"/>
      <c r="F499" s="13"/>
      <c r="G499" s="9"/>
      <c r="H499" s="7"/>
      <c r="I499" s="7"/>
    </row>
    <row r="500" spans="1:9" x14ac:dyDescent="0.25">
      <c r="A500" s="23" t="str">
        <f t="shared" si="14"/>
        <v>Please select an account</v>
      </c>
      <c r="B500" s="24" t="str">
        <f t="shared" si="15"/>
        <v>Please enter a date</v>
      </c>
      <c r="C500" s="11"/>
      <c r="D500" s="12"/>
      <c r="E500" s="6"/>
      <c r="F500" s="13"/>
      <c r="G500" s="9"/>
      <c r="H500" s="7"/>
      <c r="I500" s="7"/>
    </row>
    <row r="501" spans="1:9" x14ac:dyDescent="0.25">
      <c r="A501" s="23" t="str">
        <f>IF($A$2=0,"Please select an account",$A$2)</f>
        <v>Please select an account</v>
      </c>
      <c r="B501" s="24" t="str">
        <f>IF(TEXT($B$2,"YYYY-MM-DD")&lt;&gt;"1900-01-00",TEXT($B$2,"YYYY-MM-DD"),"Please enter a date")</f>
        <v>Please enter a date</v>
      </c>
      <c r="C501" s="11"/>
      <c r="D501" s="6"/>
      <c r="E501" s="6"/>
      <c r="F501" s="13"/>
      <c r="G501" s="9"/>
      <c r="H501" s="7"/>
      <c r="I501" s="7"/>
    </row>
    <row r="502" spans="1:9" x14ac:dyDescent="0.25">
      <c r="A502" s="23" t="str">
        <f>IF($A$2=0,"Please select an account",$A$2)</f>
        <v>Please select an account</v>
      </c>
      <c r="B502" s="24" t="str">
        <f>IF(TEXT($B$2,"YYYY-MM-DD")&lt;&gt;"1900-01-00",TEXT($B$2,"YYYY-MM-DD"),"Please enter a date")</f>
        <v>Please enter a date</v>
      </c>
      <c r="C502" s="11"/>
      <c r="D502" s="6"/>
      <c r="E502" s="6"/>
      <c r="F502" s="13"/>
      <c r="G502" s="9"/>
      <c r="H502" s="7"/>
      <c r="I502" s="7"/>
    </row>
    <row r="503" spans="1:9" x14ac:dyDescent="0.25">
      <c r="A503" s="23" t="str">
        <f>IF($A$2=0,"Please select an account",$A$2)</f>
        <v>Please select an account</v>
      </c>
      <c r="B503" s="24" t="str">
        <f>IF(TEXT($B$2,"YYYY-MM-DD")&lt;&gt;"1900-01-00",TEXT($B$2,"YYYY-MM-DD"),"Please enter a date")</f>
        <v>Please enter a date</v>
      </c>
      <c r="C503" s="11"/>
      <c r="D503" s="6"/>
      <c r="E503" s="6"/>
      <c r="F503" s="13"/>
      <c r="G503" s="9"/>
      <c r="H503" s="7"/>
      <c r="I503" s="7"/>
    </row>
    <row r="504" spans="1:9" x14ac:dyDescent="0.25">
      <c r="A504" s="23" t="str">
        <f t="shared" si="14"/>
        <v>Please select an account</v>
      </c>
      <c r="B504" s="24" t="str">
        <f t="shared" si="15"/>
        <v>Please enter a date</v>
      </c>
      <c r="C504" s="11"/>
      <c r="D504" s="12"/>
      <c r="E504" s="6"/>
      <c r="F504" s="13"/>
      <c r="G504" s="9"/>
      <c r="H504" s="7"/>
      <c r="I504" s="7"/>
    </row>
    <row r="505" spans="1:9" ht="15.75" thickBot="1" x14ac:dyDescent="0.3">
      <c r="A505" s="25" t="str">
        <f t="shared" si="14"/>
        <v>Please select an account</v>
      </c>
      <c r="B505" s="26" t="str">
        <f t="shared" si="15"/>
        <v>Please enter a date</v>
      </c>
      <c r="C505" s="11"/>
      <c r="D505" s="12"/>
      <c r="E505" s="6"/>
      <c r="F505" s="13"/>
      <c r="G505" s="9"/>
      <c r="H505" s="7"/>
      <c r="I505" s="7"/>
    </row>
  </sheetData>
  <phoneticPr fontId="5" type="noConversion"/>
  <conditionalFormatting sqref="K2:L2">
    <cfRule type="cellIs" dxfId="22" priority="2" operator="notEqual">
      <formula>0</formula>
    </cfRule>
  </conditionalFormatting>
  <conditionalFormatting sqref="U6:Y1048576">
    <cfRule type="notContainsBlanks" dxfId="21" priority="5">
      <formula>LEN(TRIM(U6))&gt;0</formula>
    </cfRule>
  </conditionalFormatting>
  <dataValidations xWindow="1880" yWindow="385" count="12">
    <dataValidation type="date" allowBlank="1" showInputMessage="1" showErrorMessage="1" promptTitle="Statement Date" prompt="The date the statement was issued." sqref="B2" xr:uid="{4980D556-7963-45A3-A49D-A90D64845D0C}">
      <formula1>43831</formula1>
      <formula2>55153</formula2>
    </dataValidation>
    <dataValidation type="list" allowBlank="1" showInputMessage="1" showErrorMessage="1" promptTitle="Account" prompt="The account that the statement is for." sqref="A2" xr:uid="{3476413F-A4A0-473F-A5A8-97E138E28CA3}">
      <formula1>ACCOUNT_DROPDOWN</formula1>
    </dataValidation>
    <dataValidation type="list" allowBlank="1" showInputMessage="1" showErrorMessage="1" sqref="I6:I505" xr:uid="{9F1BCC11-B179-48FF-9CFC-C2C0731F99C7}">
      <formula1>METHOD_DROPDOWN</formula1>
    </dataValidation>
    <dataValidation type="date" operator="lessThanOrEqual" allowBlank="1" showInputMessage="1" showErrorMessage="1" errorTitle="Invalid Period Start Date" error="The entered Period Start Date is greater than the currently entered Period End Date._x000a__x000a_Period Start Date &gt; Period End Date" promptTitle="Period Start Date" prompt="The beginning of the Statement Period" sqref="D2" xr:uid="{87F4C3A6-DB8A-4212-86C3-1CE9F7A09A47}">
      <formula1>PERIOD_END_DATE</formula1>
    </dataValidation>
    <dataValidation type="date" operator="lessThanOrEqual" allowBlank="1" showInputMessage="1" showErrorMessage="1" errorTitle="Invalid Period End Date" error="The entered Period End Date is greater than the currently entered Statement Date._x000a__x000a_Statement Date &lt; Period End Date" promptTitle="Period End Date" prompt="The end of the Statement Period" sqref="E2" xr:uid="{7EA55FC8-40E1-4AED-BC0D-FBABC9546C4F}">
      <formula1>STATEMENT_DATE</formula1>
    </dataValidation>
    <dataValidation allowBlank="1" showInputMessage="1" showErrorMessage="1" promptTitle="PDF Path" prompt="The path to the Statement PDF" sqref="C2" xr:uid="{34E21E8C-6FB4-4460-AEFE-F5EA22405772}"/>
    <dataValidation allowBlank="1" showInputMessage="1" showErrorMessage="1" promptTitle="Period Start Balance" prompt="DONT FORGET!_x000a__x000a_Until credit and debit accounts are implemented, debit accounts need to be entered with a negative balance to show credits." sqref="F2" xr:uid="{2BCBF1EE-EF5B-44F1-8E8B-BCCB58C6B133}"/>
    <dataValidation allowBlank="1" showInputMessage="1" showErrorMessage="1" promptTitle="Period End Balance" prompt="DONT FORGET!_x000a__x000a_Until credit and debit accounts are implemented, debit accounts need to be entered with a negative balance to show credits." sqref="G2" xr:uid="{8F9C99CA-6697-4407-B740-5DF0D2FDB0FA}"/>
    <dataValidation type="decimal" allowBlank="1" showInputMessage="1" showErrorMessage="1" errorTitle="NaN" error="Not a number" promptTitle="AMOUNT" prompt="The amount of the transaction" sqref="G6:G505" xr:uid="{73DF6761-D956-4EFB-8425-959584651379}">
      <formula1>-999999999999</formula1>
      <formula2>999999999999</formula2>
    </dataValidation>
    <dataValidation type="list" allowBlank="1" showInputMessage="1" showErrorMessage="1" promptTitle="PAYEE" prompt="The entity from to which the transaction is directed at._x000a__x000a_EX. If I am getting money from another person, the transaction is directed at that person." sqref="H6:H505" xr:uid="{313692CC-E528-4CA5-A180-5E24B961EB94}">
      <formula1>PAYEE_DROPDOWN</formula1>
    </dataValidation>
    <dataValidation type="date" operator="lessThanOrEqual" allowBlank="1" showInputMessage="1" showErrorMessage="1" promptTitle="TRANSACTION DATE" prompt="The date of which the transacton occured ACCORDING TO THE STATEMENT" sqref="C6:C505" xr:uid="{75B2F111-8965-4367-9792-E2D42E6FF7D1}">
      <formula1>STATEMENT_DATE</formula1>
    </dataValidation>
    <dataValidation type="date" operator="greaterThanOrEqual" allowBlank="1" showInputMessage="1" showErrorMessage="1" promptTitle="POST_DATE" prompt="The date of which the transacton occured ACCORDING TO THE STATEMENT" sqref="D6:D505" xr:uid="{1600ECC6-B410-410D-AE1B-01AD1EE66B63}">
      <formula1>C6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546A8-2794-4A46-BC4E-71A2D790A184}">
  <sheetPr>
    <tabColor theme="1"/>
  </sheetPr>
  <dimension ref="A1:C1"/>
  <sheetViews>
    <sheetView workbookViewId="0"/>
  </sheetViews>
  <sheetFormatPr defaultRowHeight="15" x14ac:dyDescent="0.25"/>
  <cols>
    <col min="1" max="1" width="8.5703125" bestFit="1" customWidth="1"/>
    <col min="2" max="3" width="7.28515625" bestFit="1" customWidth="1"/>
    <col min="4" max="4" width="11.140625" bestFit="1" customWidth="1"/>
    <col min="5" max="5" width="8.85546875" customWidth="1"/>
    <col min="6" max="6" width="16.5703125" customWidth="1"/>
    <col min="7" max="7" width="7.28515625" bestFit="1" customWidth="1"/>
  </cols>
  <sheetData>
    <row r="1" spans="1:3" x14ac:dyDescent="0.25">
      <c r="A1" t="s">
        <v>13</v>
      </c>
      <c r="B1" t="s">
        <v>14</v>
      </c>
      <c r="C1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0582-E06E-4AFA-98CE-4F98EB567E23}">
  <sheetPr>
    <tabColor theme="8"/>
  </sheetPr>
  <dimension ref="A1:R2"/>
  <sheetViews>
    <sheetView workbookViewId="0">
      <selection activeCell="A2" sqref="A2"/>
    </sheetView>
  </sheetViews>
  <sheetFormatPr defaultRowHeight="15" x14ac:dyDescent="0.25"/>
  <cols>
    <col min="1" max="1" width="12.140625" bestFit="1" customWidth="1"/>
    <col min="2" max="2" width="14.28515625" bestFit="1" customWidth="1"/>
    <col min="3" max="3" width="16.85546875" bestFit="1" customWidth="1"/>
    <col min="4" max="4" width="11.5703125" bestFit="1" customWidth="1"/>
    <col min="5" max="5" width="10.7109375" bestFit="1" customWidth="1"/>
    <col min="6" max="6" width="14.28515625" bestFit="1" customWidth="1"/>
    <col min="7" max="7" width="13.42578125" bestFit="1" customWidth="1"/>
    <col min="8" max="8" width="20" bestFit="1" customWidth="1"/>
    <col min="9" max="9" width="18.5703125" bestFit="1" customWidth="1"/>
    <col min="10" max="10" width="12.140625" bestFit="1" customWidth="1"/>
    <col min="11" max="11" width="10.42578125" bestFit="1" customWidth="1"/>
    <col min="12" max="12" width="11.42578125" bestFit="1" customWidth="1"/>
    <col min="13" max="13" width="17.7109375" bestFit="1" customWidth="1"/>
    <col min="14" max="14" width="11.28515625" bestFit="1" customWidth="1"/>
    <col min="15" max="15" width="20" bestFit="1" customWidth="1"/>
    <col min="16" max="16" width="10.42578125" bestFit="1" customWidth="1"/>
    <col min="17" max="17" width="13.42578125" customWidth="1"/>
    <col min="18" max="18" width="24.28515625" bestFit="1" customWidth="1"/>
  </cols>
  <sheetData>
    <row r="1" spans="1:18" x14ac:dyDescent="0.25">
      <c r="A1" t="s">
        <v>38</v>
      </c>
      <c r="B1" t="s">
        <v>55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56</v>
      </c>
      <c r="I1" t="s">
        <v>57</v>
      </c>
      <c r="J1" t="s">
        <v>39</v>
      </c>
      <c r="K1" t="s">
        <v>40</v>
      </c>
      <c r="L1" t="s">
        <v>58</v>
      </c>
      <c r="M1" t="s">
        <v>41</v>
      </c>
      <c r="N1" t="s">
        <v>42</v>
      </c>
      <c r="O1" t="s">
        <v>43</v>
      </c>
      <c r="P1" t="s">
        <v>45</v>
      </c>
      <c r="Q1" t="s">
        <v>44</v>
      </c>
      <c r="R1" t="s">
        <v>59</v>
      </c>
    </row>
    <row r="2" spans="1:18" x14ac:dyDescent="0.25">
      <c r="C2" s="40"/>
      <c r="D2" s="14"/>
      <c r="E2" s="1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B85AA-42DE-43D3-9310-9BB6D1E9FF61}">
  <dimension ref="A1:W2"/>
  <sheetViews>
    <sheetView workbookViewId="0">
      <selection activeCell="A2" sqref="A2"/>
    </sheetView>
  </sheetViews>
  <sheetFormatPr defaultRowHeight="15" x14ac:dyDescent="0.25"/>
  <cols>
    <col min="1" max="1" width="10.42578125" bestFit="1" customWidth="1"/>
    <col min="2" max="2" width="12.140625" bestFit="1" customWidth="1"/>
    <col min="4" max="5" width="10.42578125" bestFit="1" customWidth="1"/>
    <col min="6" max="7" width="12.140625" bestFit="1" customWidth="1"/>
    <col min="8" max="8" width="32" customWidth="1"/>
    <col min="10" max="10" width="14" bestFit="1" customWidth="1"/>
    <col min="11" max="11" width="10.42578125" bestFit="1" customWidth="1"/>
    <col min="12" max="12" width="63.5703125" customWidth="1"/>
    <col min="13" max="13" width="39" bestFit="1" customWidth="1"/>
    <col min="14" max="14" width="32" bestFit="1" customWidth="1"/>
    <col min="15" max="15" width="63.5703125" bestFit="1" customWidth="1"/>
    <col min="16" max="16" width="39" bestFit="1" customWidth="1"/>
    <col min="17" max="17" width="18.7109375" bestFit="1" customWidth="1"/>
    <col min="18" max="18" width="22.42578125" bestFit="1" customWidth="1"/>
    <col min="19" max="19" width="16.85546875" bestFit="1" customWidth="1"/>
    <col min="20" max="20" width="11.5703125" bestFit="1" customWidth="1"/>
    <col min="21" max="21" width="10.7109375" bestFit="1" customWidth="1"/>
    <col min="22" max="22" width="14.28515625" bestFit="1" customWidth="1"/>
    <col min="23" max="23" width="13.42578125" bestFit="1" customWidth="1"/>
    <col min="25" max="25" width="39.140625" bestFit="1" customWidth="1"/>
    <col min="26" max="26" width="17.5703125" bestFit="1" customWidth="1"/>
    <col min="27" max="27" width="15" bestFit="1" customWidth="1"/>
    <col min="28" max="28" width="16" bestFit="1" customWidth="1"/>
    <col min="29" max="29" width="22.28515625" bestFit="1" customWidth="1"/>
    <col min="30" max="30" width="21.7109375" bestFit="1" customWidth="1"/>
  </cols>
  <sheetData>
    <row r="1" spans="1:23" x14ac:dyDescent="0.25">
      <c r="A1" t="s">
        <v>22</v>
      </c>
      <c r="B1" t="s">
        <v>38</v>
      </c>
      <c r="D1" t="s">
        <v>22</v>
      </c>
      <c r="E1" t="s">
        <v>30</v>
      </c>
      <c r="F1" t="s">
        <v>38</v>
      </c>
      <c r="G1" t="s">
        <v>39</v>
      </c>
      <c r="J1" t="s">
        <v>31</v>
      </c>
      <c r="K1" t="s">
        <v>40</v>
      </c>
      <c r="N1" t="s">
        <v>3</v>
      </c>
      <c r="O1" t="s">
        <v>2</v>
      </c>
      <c r="P1" t="s">
        <v>4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5">
      <c r="N2" cm="1">
        <f t="array" ref="N2">_xlfn._xlws.FILTER(METHODS[Method],METHODS[Account]=SELECTED_ACCOUNT, "Please select an account")</f>
        <v>0</v>
      </c>
      <c r="O2" cm="1">
        <f t="array" ref="O2">ACCOUNTS[Account]</f>
        <v>0</v>
      </c>
      <c r="P2" t="str" cm="1">
        <f t="array" ref="P2">IF(SELECTED_ACCOUNT = "", "Please select an account", _xlfn._xlws.FILTER(PAYEES[PayeeName],PAYEES[PayeeName]&lt;&gt;SELECTED_ACCOUNT))</f>
        <v>Please select an account</v>
      </c>
      <c r="S2" s="14"/>
      <c r="T2" s="14"/>
      <c r="U2" s="14"/>
    </row>
  </sheetData>
  <phoneticPr fontId="5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FE84-DDE6-45D3-A1AE-8AEF75A1E7A9}">
  <dimension ref="B1:F500"/>
  <sheetViews>
    <sheetView workbookViewId="0">
      <selection activeCell="A2" sqref="A2"/>
    </sheetView>
  </sheetViews>
  <sheetFormatPr defaultRowHeight="15" x14ac:dyDescent="0.25"/>
  <cols>
    <col min="1" max="1" width="9.140625" style="10"/>
    <col min="2" max="2" width="18.28515625" style="27" bestFit="1" customWidth="1"/>
    <col min="3" max="3" width="9.140625" style="27"/>
    <col min="4" max="4" width="21.5703125" style="27" bestFit="1" customWidth="1"/>
    <col min="5" max="16384" width="9.140625" style="10"/>
  </cols>
  <sheetData>
    <row r="1" spans="2:6" x14ac:dyDescent="0.25">
      <c r="B1" s="27" t="str" cm="1">
        <f t="array" ref="B1:B500">IF(STATEMENT_DATA[TRANSACTION DATE]=0,"",STATEMENT_DATA[TRANSACTION DATE])</f>
        <v/>
      </c>
      <c r="C1" s="27" t="str" cm="1">
        <f t="array" ref="C1:C500">IF(STATEMENT_DATA[AMOUNT]=0,"",STATEMENT_DATA[AMOUNT])</f>
        <v/>
      </c>
      <c r="D1" s="27" t="str" cm="1">
        <f t="array" ref="D1:D500">IF(STATEMENT_DATA[PAYEE]=0,"",STATEMENT_DATA[PAYEE])</f>
        <v/>
      </c>
      <c r="F1"/>
    </row>
    <row r="2" spans="2:6" x14ac:dyDescent="0.25">
      <c r="B2" s="27" t="str">
        <v/>
      </c>
      <c r="C2" s="27" t="str">
        <v/>
      </c>
      <c r="D2" s="27" t="str">
        <v/>
      </c>
    </row>
    <row r="3" spans="2:6" x14ac:dyDescent="0.25">
      <c r="B3" s="27" t="str">
        <v/>
      </c>
      <c r="C3" s="27" t="str">
        <v/>
      </c>
      <c r="D3" s="27" t="str">
        <v/>
      </c>
    </row>
    <row r="4" spans="2:6" x14ac:dyDescent="0.25">
      <c r="B4" s="27" t="str">
        <v/>
      </c>
      <c r="C4" s="27" t="str">
        <v/>
      </c>
      <c r="D4" s="27" t="str">
        <v/>
      </c>
    </row>
    <row r="5" spans="2:6" x14ac:dyDescent="0.25">
      <c r="B5" s="27" t="str">
        <v/>
      </c>
      <c r="C5" s="27" t="str">
        <v/>
      </c>
      <c r="D5" s="27" t="str">
        <v/>
      </c>
    </row>
    <row r="6" spans="2:6" x14ac:dyDescent="0.25">
      <c r="B6" s="27" t="str">
        <v/>
      </c>
      <c r="C6" s="27" t="str">
        <v/>
      </c>
      <c r="D6" s="27" t="str">
        <v/>
      </c>
    </row>
    <row r="7" spans="2:6" x14ac:dyDescent="0.25">
      <c r="B7" s="27" t="str">
        <v/>
      </c>
      <c r="C7" s="27" t="str">
        <v/>
      </c>
      <c r="D7" s="27" t="str">
        <v/>
      </c>
    </row>
    <row r="8" spans="2:6" x14ac:dyDescent="0.25">
      <c r="B8" s="27" t="str">
        <v/>
      </c>
      <c r="C8" s="27" t="str">
        <v/>
      </c>
      <c r="D8" s="27" t="str">
        <v/>
      </c>
    </row>
    <row r="9" spans="2:6" x14ac:dyDescent="0.25">
      <c r="B9" s="27" t="str">
        <v/>
      </c>
      <c r="C9" s="27" t="str">
        <v/>
      </c>
      <c r="D9" s="27" t="str">
        <v/>
      </c>
    </row>
    <row r="10" spans="2:6" x14ac:dyDescent="0.25">
      <c r="B10" s="27" t="str">
        <v/>
      </c>
      <c r="C10" s="27" t="str">
        <v/>
      </c>
      <c r="D10" s="27" t="str">
        <v/>
      </c>
    </row>
    <row r="11" spans="2:6" x14ac:dyDescent="0.25">
      <c r="B11" s="27" t="str">
        <v/>
      </c>
      <c r="C11" s="27" t="str">
        <v/>
      </c>
      <c r="D11" s="27" t="str">
        <v/>
      </c>
    </row>
    <row r="12" spans="2:6" x14ac:dyDescent="0.25">
      <c r="B12" s="27" t="str">
        <v/>
      </c>
      <c r="C12" s="27" t="str">
        <v/>
      </c>
      <c r="D12" s="27" t="str">
        <v/>
      </c>
    </row>
    <row r="13" spans="2:6" x14ac:dyDescent="0.25">
      <c r="B13" s="27" t="str">
        <v/>
      </c>
      <c r="C13" s="27" t="str">
        <v/>
      </c>
      <c r="D13" s="27" t="str">
        <v/>
      </c>
    </row>
    <row r="14" spans="2:6" x14ac:dyDescent="0.25">
      <c r="B14" s="27" t="str">
        <v/>
      </c>
      <c r="C14" s="27" t="str">
        <v/>
      </c>
      <c r="D14" s="27" t="str">
        <v/>
      </c>
    </row>
    <row r="15" spans="2:6" x14ac:dyDescent="0.25">
      <c r="B15" s="27" t="str">
        <v/>
      </c>
      <c r="C15" s="27" t="str">
        <v/>
      </c>
      <c r="D15" s="27" t="str">
        <v/>
      </c>
    </row>
    <row r="16" spans="2:6" x14ac:dyDescent="0.25">
      <c r="B16" s="27" t="str">
        <v/>
      </c>
      <c r="C16" s="27" t="str">
        <v/>
      </c>
      <c r="D16" s="27" t="str">
        <v/>
      </c>
    </row>
    <row r="17" spans="2:4" x14ac:dyDescent="0.25">
      <c r="B17" s="27" t="str">
        <v/>
      </c>
      <c r="C17" s="27" t="str">
        <v/>
      </c>
      <c r="D17" s="27" t="str">
        <v/>
      </c>
    </row>
    <row r="18" spans="2:4" x14ac:dyDescent="0.25">
      <c r="B18" s="27" t="str">
        <v/>
      </c>
      <c r="C18" s="27" t="str">
        <v/>
      </c>
      <c r="D18" s="27" t="str">
        <v/>
      </c>
    </row>
    <row r="19" spans="2:4" x14ac:dyDescent="0.25">
      <c r="B19" s="27" t="str">
        <v/>
      </c>
      <c r="C19" s="27" t="str">
        <v/>
      </c>
      <c r="D19" s="27" t="str">
        <v/>
      </c>
    </row>
    <row r="20" spans="2:4" x14ac:dyDescent="0.25">
      <c r="B20" s="27" t="str">
        <v/>
      </c>
      <c r="C20" s="27" t="str">
        <v/>
      </c>
      <c r="D20" s="27" t="str">
        <v/>
      </c>
    </row>
    <row r="21" spans="2:4" x14ac:dyDescent="0.25">
      <c r="B21" s="27" t="str">
        <v/>
      </c>
      <c r="C21" s="27" t="str">
        <v/>
      </c>
      <c r="D21" s="27" t="str">
        <v/>
      </c>
    </row>
    <row r="22" spans="2:4" x14ac:dyDescent="0.25">
      <c r="B22" s="27" t="str">
        <v/>
      </c>
      <c r="C22" s="27" t="str">
        <v/>
      </c>
      <c r="D22" s="27" t="str">
        <v/>
      </c>
    </row>
    <row r="23" spans="2:4" x14ac:dyDescent="0.25">
      <c r="B23" s="27" t="str">
        <v/>
      </c>
      <c r="C23" s="27" t="str">
        <v/>
      </c>
      <c r="D23" s="27" t="str">
        <v/>
      </c>
    </row>
    <row r="24" spans="2:4" x14ac:dyDescent="0.25">
      <c r="B24" s="27" t="str">
        <v/>
      </c>
      <c r="C24" s="27" t="str">
        <v/>
      </c>
      <c r="D24" s="27" t="str">
        <v/>
      </c>
    </row>
    <row r="25" spans="2:4" x14ac:dyDescent="0.25">
      <c r="B25" s="27" t="str">
        <v/>
      </c>
      <c r="C25" s="27" t="str">
        <v/>
      </c>
      <c r="D25" s="27" t="str">
        <v/>
      </c>
    </row>
    <row r="26" spans="2:4" x14ac:dyDescent="0.25">
      <c r="B26" s="27" t="str">
        <v/>
      </c>
      <c r="C26" s="27" t="str">
        <v/>
      </c>
      <c r="D26" s="27" t="str">
        <v/>
      </c>
    </row>
    <row r="27" spans="2:4" x14ac:dyDescent="0.25">
      <c r="B27" s="27" t="str">
        <v/>
      </c>
      <c r="C27" s="27" t="str">
        <v/>
      </c>
      <c r="D27" s="27" t="str">
        <v/>
      </c>
    </row>
    <row r="28" spans="2:4" x14ac:dyDescent="0.25">
      <c r="B28" s="27" t="str">
        <v/>
      </c>
      <c r="C28" s="27" t="str">
        <v/>
      </c>
      <c r="D28" s="27" t="str">
        <v/>
      </c>
    </row>
    <row r="29" spans="2:4" x14ac:dyDescent="0.25">
      <c r="B29" s="27" t="str">
        <v/>
      </c>
      <c r="C29" s="27" t="str">
        <v/>
      </c>
      <c r="D29" s="27" t="str">
        <v/>
      </c>
    </row>
    <row r="30" spans="2:4" x14ac:dyDescent="0.25">
      <c r="B30" s="27" t="str">
        <v/>
      </c>
      <c r="C30" s="27" t="str">
        <v/>
      </c>
      <c r="D30" s="27" t="str">
        <v/>
      </c>
    </row>
    <row r="31" spans="2:4" x14ac:dyDescent="0.25">
      <c r="B31" s="27" t="str">
        <v/>
      </c>
      <c r="C31" s="27" t="str">
        <v/>
      </c>
      <c r="D31" s="27" t="str">
        <v/>
      </c>
    </row>
    <row r="32" spans="2:4" x14ac:dyDescent="0.25">
      <c r="B32" s="27" t="str">
        <v/>
      </c>
      <c r="C32" s="27" t="str">
        <v/>
      </c>
      <c r="D32" s="27" t="str">
        <v/>
      </c>
    </row>
    <row r="33" spans="2:4" x14ac:dyDescent="0.25">
      <c r="B33" s="27" t="str">
        <v/>
      </c>
      <c r="C33" s="27" t="str">
        <v/>
      </c>
      <c r="D33" s="27" t="str">
        <v/>
      </c>
    </row>
    <row r="34" spans="2:4" x14ac:dyDescent="0.25">
      <c r="B34" s="27" t="str">
        <v/>
      </c>
      <c r="C34" s="27" t="str">
        <v/>
      </c>
      <c r="D34" s="27" t="str">
        <v/>
      </c>
    </row>
    <row r="35" spans="2:4" x14ac:dyDescent="0.25">
      <c r="B35" s="27" t="str">
        <v/>
      </c>
      <c r="C35" s="27" t="str">
        <v/>
      </c>
      <c r="D35" s="27" t="str">
        <v/>
      </c>
    </row>
    <row r="36" spans="2:4" x14ac:dyDescent="0.25">
      <c r="B36" s="27" t="str">
        <v/>
      </c>
      <c r="C36" s="27" t="str">
        <v/>
      </c>
      <c r="D36" s="27" t="str">
        <v/>
      </c>
    </row>
    <row r="37" spans="2:4" x14ac:dyDescent="0.25">
      <c r="B37" s="27" t="str">
        <v/>
      </c>
      <c r="C37" s="27" t="str">
        <v/>
      </c>
      <c r="D37" s="27" t="str">
        <v/>
      </c>
    </row>
    <row r="38" spans="2:4" x14ac:dyDescent="0.25">
      <c r="B38" s="27" t="str">
        <v/>
      </c>
      <c r="C38" s="27" t="str">
        <v/>
      </c>
      <c r="D38" s="27" t="str">
        <v/>
      </c>
    </row>
    <row r="39" spans="2:4" x14ac:dyDescent="0.25">
      <c r="B39" s="27" t="str">
        <v/>
      </c>
      <c r="C39" s="27" t="str">
        <v/>
      </c>
      <c r="D39" s="27" t="str">
        <v/>
      </c>
    </row>
    <row r="40" spans="2:4" x14ac:dyDescent="0.25">
      <c r="B40" s="27" t="str">
        <v/>
      </c>
      <c r="C40" s="27" t="str">
        <v/>
      </c>
      <c r="D40" s="27" t="str">
        <v/>
      </c>
    </row>
    <row r="41" spans="2:4" x14ac:dyDescent="0.25">
      <c r="B41" s="27" t="str">
        <v/>
      </c>
      <c r="C41" s="27" t="str">
        <v/>
      </c>
      <c r="D41" s="27" t="str">
        <v/>
      </c>
    </row>
    <row r="42" spans="2:4" x14ac:dyDescent="0.25">
      <c r="B42" s="27" t="str">
        <v/>
      </c>
      <c r="C42" s="27" t="str">
        <v/>
      </c>
      <c r="D42" s="27" t="str">
        <v/>
      </c>
    </row>
    <row r="43" spans="2:4" x14ac:dyDescent="0.25">
      <c r="B43" s="27" t="str">
        <v/>
      </c>
      <c r="C43" s="27" t="str">
        <v/>
      </c>
      <c r="D43" s="27" t="str">
        <v/>
      </c>
    </row>
    <row r="44" spans="2:4" x14ac:dyDescent="0.25">
      <c r="B44" s="27" t="str">
        <v/>
      </c>
      <c r="C44" s="27" t="str">
        <v/>
      </c>
      <c r="D44" s="27" t="str">
        <v/>
      </c>
    </row>
    <row r="45" spans="2:4" x14ac:dyDescent="0.25">
      <c r="B45" s="27" t="str">
        <v/>
      </c>
      <c r="C45" s="27" t="str">
        <v/>
      </c>
      <c r="D45" s="27" t="str">
        <v/>
      </c>
    </row>
    <row r="46" spans="2:4" x14ac:dyDescent="0.25">
      <c r="B46" s="27" t="str">
        <v/>
      </c>
      <c r="C46" s="27" t="str">
        <v/>
      </c>
      <c r="D46" s="27" t="str">
        <v/>
      </c>
    </row>
    <row r="47" spans="2:4" x14ac:dyDescent="0.25">
      <c r="B47" s="27" t="str">
        <v/>
      </c>
      <c r="C47" s="27" t="str">
        <v/>
      </c>
      <c r="D47" s="27" t="str">
        <v/>
      </c>
    </row>
    <row r="48" spans="2:4" x14ac:dyDescent="0.25">
      <c r="B48" s="27" t="str">
        <v/>
      </c>
      <c r="C48" s="27" t="str">
        <v/>
      </c>
      <c r="D48" s="27" t="str">
        <v/>
      </c>
    </row>
    <row r="49" spans="2:4" x14ac:dyDescent="0.25">
      <c r="B49" s="27" t="str">
        <v/>
      </c>
      <c r="C49" s="27" t="str">
        <v/>
      </c>
      <c r="D49" s="27" t="str">
        <v/>
      </c>
    </row>
    <row r="50" spans="2:4" x14ac:dyDescent="0.25">
      <c r="B50" s="27" t="str">
        <v/>
      </c>
      <c r="C50" s="27" t="str">
        <v/>
      </c>
      <c r="D50" s="27" t="str">
        <v/>
      </c>
    </row>
    <row r="51" spans="2:4" x14ac:dyDescent="0.25">
      <c r="B51" s="27" t="str">
        <v/>
      </c>
      <c r="C51" s="27" t="str">
        <v/>
      </c>
      <c r="D51" s="27" t="str">
        <v/>
      </c>
    </row>
    <row r="52" spans="2:4" x14ac:dyDescent="0.25">
      <c r="B52" s="27" t="str">
        <v/>
      </c>
      <c r="C52" s="27" t="str">
        <v/>
      </c>
      <c r="D52" s="27" t="str">
        <v/>
      </c>
    </row>
    <row r="53" spans="2:4" x14ac:dyDescent="0.25">
      <c r="B53" s="27" t="str">
        <v/>
      </c>
      <c r="C53" s="27" t="str">
        <v/>
      </c>
      <c r="D53" s="27" t="str">
        <v/>
      </c>
    </row>
    <row r="54" spans="2:4" x14ac:dyDescent="0.25">
      <c r="B54" s="27" t="str">
        <v/>
      </c>
      <c r="C54" s="27" t="str">
        <v/>
      </c>
      <c r="D54" s="27" t="str">
        <v/>
      </c>
    </row>
    <row r="55" spans="2:4" x14ac:dyDescent="0.25">
      <c r="B55" s="27" t="str">
        <v/>
      </c>
      <c r="C55" s="27" t="str">
        <v/>
      </c>
      <c r="D55" s="27" t="str">
        <v/>
      </c>
    </row>
    <row r="56" spans="2:4" x14ac:dyDescent="0.25">
      <c r="B56" s="27" t="str">
        <v/>
      </c>
      <c r="C56" s="27" t="str">
        <v/>
      </c>
      <c r="D56" s="27" t="str">
        <v/>
      </c>
    </row>
    <row r="57" spans="2:4" x14ac:dyDescent="0.25">
      <c r="B57" s="27" t="str">
        <v/>
      </c>
      <c r="C57" s="27" t="str">
        <v/>
      </c>
      <c r="D57" s="27" t="str">
        <v/>
      </c>
    </row>
    <row r="58" spans="2:4" x14ac:dyDescent="0.25">
      <c r="B58" s="27" t="str">
        <v/>
      </c>
      <c r="C58" s="27" t="str">
        <v/>
      </c>
      <c r="D58" s="27" t="str">
        <v/>
      </c>
    </row>
    <row r="59" spans="2:4" x14ac:dyDescent="0.25">
      <c r="B59" s="27" t="str">
        <v/>
      </c>
      <c r="C59" s="27" t="str">
        <v/>
      </c>
      <c r="D59" s="27" t="str">
        <v/>
      </c>
    </row>
    <row r="60" spans="2:4" x14ac:dyDescent="0.25">
      <c r="B60" s="27" t="str">
        <v/>
      </c>
      <c r="C60" s="27" t="str">
        <v/>
      </c>
      <c r="D60" s="27" t="str">
        <v/>
      </c>
    </row>
    <row r="61" spans="2:4" x14ac:dyDescent="0.25">
      <c r="B61" s="27" t="str">
        <v/>
      </c>
      <c r="C61" s="27" t="str">
        <v/>
      </c>
      <c r="D61" s="27" t="str">
        <v/>
      </c>
    </row>
    <row r="62" spans="2:4" x14ac:dyDescent="0.25">
      <c r="B62" s="27" t="str">
        <v/>
      </c>
      <c r="C62" s="27" t="str">
        <v/>
      </c>
      <c r="D62" s="27" t="str">
        <v/>
      </c>
    </row>
    <row r="63" spans="2:4" x14ac:dyDescent="0.25">
      <c r="B63" s="27" t="str">
        <v/>
      </c>
      <c r="C63" s="27" t="str">
        <v/>
      </c>
      <c r="D63" s="27" t="str">
        <v/>
      </c>
    </row>
    <row r="64" spans="2:4" x14ac:dyDescent="0.25">
      <c r="B64" s="27" t="str">
        <v/>
      </c>
      <c r="C64" s="27" t="str">
        <v/>
      </c>
      <c r="D64" s="27" t="str">
        <v/>
      </c>
    </row>
    <row r="65" spans="2:4" x14ac:dyDescent="0.25">
      <c r="B65" s="27" t="str">
        <v/>
      </c>
      <c r="C65" s="27" t="str">
        <v/>
      </c>
      <c r="D65" s="27" t="str">
        <v/>
      </c>
    </row>
    <row r="66" spans="2:4" x14ac:dyDescent="0.25">
      <c r="B66" s="27" t="str">
        <v/>
      </c>
      <c r="C66" s="27" t="str">
        <v/>
      </c>
      <c r="D66" s="27" t="str">
        <v/>
      </c>
    </row>
    <row r="67" spans="2:4" x14ac:dyDescent="0.25">
      <c r="B67" s="27" t="str">
        <v/>
      </c>
      <c r="C67" s="27" t="str">
        <v/>
      </c>
      <c r="D67" s="27" t="str">
        <v/>
      </c>
    </row>
    <row r="68" spans="2:4" x14ac:dyDescent="0.25">
      <c r="B68" s="27" t="str">
        <v/>
      </c>
      <c r="C68" s="27" t="str">
        <v/>
      </c>
      <c r="D68" s="27" t="str">
        <v/>
      </c>
    </row>
    <row r="69" spans="2:4" x14ac:dyDescent="0.25">
      <c r="B69" s="27" t="str">
        <v/>
      </c>
      <c r="C69" s="27" t="str">
        <v/>
      </c>
      <c r="D69" s="27" t="str">
        <v/>
      </c>
    </row>
    <row r="70" spans="2:4" x14ac:dyDescent="0.25">
      <c r="B70" s="27" t="str">
        <v/>
      </c>
      <c r="C70" s="27" t="str">
        <v/>
      </c>
      <c r="D70" s="27" t="str">
        <v/>
      </c>
    </row>
    <row r="71" spans="2:4" x14ac:dyDescent="0.25">
      <c r="B71" s="27" t="str">
        <v/>
      </c>
      <c r="C71" s="27" t="str">
        <v/>
      </c>
      <c r="D71" s="27" t="str">
        <v/>
      </c>
    </row>
    <row r="72" spans="2:4" x14ac:dyDescent="0.25">
      <c r="B72" s="27" t="str">
        <v/>
      </c>
      <c r="C72" s="27" t="str">
        <v/>
      </c>
      <c r="D72" s="27" t="str">
        <v/>
      </c>
    </row>
    <row r="73" spans="2:4" x14ac:dyDescent="0.25">
      <c r="B73" s="27" t="str">
        <v/>
      </c>
      <c r="C73" s="27" t="str">
        <v/>
      </c>
      <c r="D73" s="27" t="str">
        <v/>
      </c>
    </row>
    <row r="74" spans="2:4" x14ac:dyDescent="0.25">
      <c r="B74" s="27" t="str">
        <v/>
      </c>
      <c r="C74" s="27" t="str">
        <v/>
      </c>
      <c r="D74" s="27" t="str">
        <v/>
      </c>
    </row>
    <row r="75" spans="2:4" x14ac:dyDescent="0.25">
      <c r="B75" s="27" t="str">
        <v/>
      </c>
      <c r="C75" s="27" t="str">
        <v/>
      </c>
      <c r="D75" s="27" t="str">
        <v/>
      </c>
    </row>
    <row r="76" spans="2:4" x14ac:dyDescent="0.25">
      <c r="B76" s="27" t="str">
        <v/>
      </c>
      <c r="C76" s="27" t="str">
        <v/>
      </c>
      <c r="D76" s="27" t="str">
        <v/>
      </c>
    </row>
    <row r="77" spans="2:4" x14ac:dyDescent="0.25">
      <c r="B77" s="27" t="str">
        <v/>
      </c>
      <c r="C77" s="27" t="str">
        <v/>
      </c>
      <c r="D77" s="27" t="str">
        <v/>
      </c>
    </row>
    <row r="78" spans="2:4" x14ac:dyDescent="0.25">
      <c r="B78" s="27" t="str">
        <v/>
      </c>
      <c r="C78" s="27" t="str">
        <v/>
      </c>
      <c r="D78" s="27" t="str">
        <v/>
      </c>
    </row>
    <row r="79" spans="2:4" x14ac:dyDescent="0.25">
      <c r="B79" s="27" t="str">
        <v/>
      </c>
      <c r="C79" s="27" t="str">
        <v/>
      </c>
      <c r="D79" s="27" t="str">
        <v/>
      </c>
    </row>
    <row r="80" spans="2:4" x14ac:dyDescent="0.25">
      <c r="B80" s="27" t="str">
        <v/>
      </c>
      <c r="C80" s="27" t="str">
        <v/>
      </c>
      <c r="D80" s="27" t="str">
        <v/>
      </c>
    </row>
    <row r="81" spans="2:4" x14ac:dyDescent="0.25">
      <c r="B81" s="27" t="str">
        <v/>
      </c>
      <c r="C81" s="27" t="str">
        <v/>
      </c>
      <c r="D81" s="27" t="str">
        <v/>
      </c>
    </row>
    <row r="82" spans="2:4" x14ac:dyDescent="0.25">
      <c r="B82" s="27" t="str">
        <v/>
      </c>
      <c r="C82" s="27" t="str">
        <v/>
      </c>
      <c r="D82" s="27" t="str">
        <v/>
      </c>
    </row>
    <row r="83" spans="2:4" x14ac:dyDescent="0.25">
      <c r="B83" s="27" t="str">
        <v/>
      </c>
      <c r="C83" s="27" t="str">
        <v/>
      </c>
      <c r="D83" s="27" t="str">
        <v/>
      </c>
    </row>
    <row r="84" spans="2:4" x14ac:dyDescent="0.25">
      <c r="B84" s="27" t="str">
        <v/>
      </c>
      <c r="C84" s="27" t="str">
        <v/>
      </c>
      <c r="D84" s="27" t="str">
        <v/>
      </c>
    </row>
    <row r="85" spans="2:4" x14ac:dyDescent="0.25">
      <c r="B85" s="27" t="str">
        <v/>
      </c>
      <c r="C85" s="27" t="str">
        <v/>
      </c>
      <c r="D85" s="27" t="str">
        <v/>
      </c>
    </row>
    <row r="86" spans="2:4" x14ac:dyDescent="0.25">
      <c r="B86" s="27" t="str">
        <v/>
      </c>
      <c r="C86" s="27" t="str">
        <v/>
      </c>
      <c r="D86" s="27" t="str">
        <v/>
      </c>
    </row>
    <row r="87" spans="2:4" x14ac:dyDescent="0.25">
      <c r="B87" s="27" t="str">
        <v/>
      </c>
      <c r="C87" s="27" t="str">
        <v/>
      </c>
      <c r="D87" s="27" t="str">
        <v/>
      </c>
    </row>
    <row r="88" spans="2:4" x14ac:dyDescent="0.25">
      <c r="B88" s="27" t="str">
        <v/>
      </c>
      <c r="C88" s="27" t="str">
        <v/>
      </c>
      <c r="D88" s="27" t="str">
        <v/>
      </c>
    </row>
    <row r="89" spans="2:4" x14ac:dyDescent="0.25">
      <c r="B89" s="27" t="str">
        <v/>
      </c>
      <c r="C89" s="27" t="str">
        <v/>
      </c>
      <c r="D89" s="27" t="str">
        <v/>
      </c>
    </row>
    <row r="90" spans="2:4" x14ac:dyDescent="0.25">
      <c r="B90" s="27" t="str">
        <v/>
      </c>
      <c r="C90" s="27" t="str">
        <v/>
      </c>
      <c r="D90" s="27" t="str">
        <v/>
      </c>
    </row>
    <row r="91" spans="2:4" x14ac:dyDescent="0.25">
      <c r="B91" s="27" t="str">
        <v/>
      </c>
      <c r="C91" s="27" t="str">
        <v/>
      </c>
      <c r="D91" s="27" t="str">
        <v/>
      </c>
    </row>
    <row r="92" spans="2:4" x14ac:dyDescent="0.25">
      <c r="B92" s="27" t="str">
        <v/>
      </c>
      <c r="C92" s="27" t="str">
        <v/>
      </c>
      <c r="D92" s="27" t="str">
        <v/>
      </c>
    </row>
    <row r="93" spans="2:4" x14ac:dyDescent="0.25">
      <c r="B93" s="27" t="str">
        <v/>
      </c>
      <c r="C93" s="27" t="str">
        <v/>
      </c>
      <c r="D93" s="27" t="str">
        <v/>
      </c>
    </row>
    <row r="94" spans="2:4" x14ac:dyDescent="0.25">
      <c r="B94" s="27" t="str">
        <v/>
      </c>
      <c r="C94" s="27" t="str">
        <v/>
      </c>
      <c r="D94" s="27" t="str">
        <v/>
      </c>
    </row>
    <row r="95" spans="2:4" x14ac:dyDescent="0.25">
      <c r="B95" s="27" t="str">
        <v/>
      </c>
      <c r="C95" s="27" t="str">
        <v/>
      </c>
      <c r="D95" s="27" t="str">
        <v/>
      </c>
    </row>
    <row r="96" spans="2:4" x14ac:dyDescent="0.25">
      <c r="B96" s="27" t="str">
        <v/>
      </c>
      <c r="C96" s="27" t="str">
        <v/>
      </c>
      <c r="D96" s="27" t="str">
        <v/>
      </c>
    </row>
    <row r="97" spans="2:4" x14ac:dyDescent="0.25">
      <c r="B97" s="27" t="str">
        <v/>
      </c>
      <c r="C97" s="27" t="str">
        <v/>
      </c>
      <c r="D97" s="27" t="str">
        <v/>
      </c>
    </row>
    <row r="98" spans="2:4" x14ac:dyDescent="0.25">
      <c r="B98" s="27" t="str">
        <v/>
      </c>
      <c r="C98" s="27" t="str">
        <v/>
      </c>
      <c r="D98" s="27" t="str">
        <v/>
      </c>
    </row>
    <row r="99" spans="2:4" x14ac:dyDescent="0.25">
      <c r="B99" s="27" t="str">
        <v/>
      </c>
      <c r="C99" s="27" t="str">
        <v/>
      </c>
      <c r="D99" s="27" t="str">
        <v/>
      </c>
    </row>
    <row r="100" spans="2:4" x14ac:dyDescent="0.25">
      <c r="B100" s="27" t="str">
        <v/>
      </c>
      <c r="C100" s="27" t="str">
        <v/>
      </c>
      <c r="D100" s="27" t="str">
        <v/>
      </c>
    </row>
    <row r="101" spans="2:4" x14ac:dyDescent="0.25">
      <c r="B101" s="27" t="str">
        <v/>
      </c>
      <c r="C101" s="27" t="str">
        <v/>
      </c>
      <c r="D101" s="27" t="str">
        <v/>
      </c>
    </row>
    <row r="102" spans="2:4" x14ac:dyDescent="0.25">
      <c r="B102" s="27" t="str">
        <v/>
      </c>
      <c r="C102" s="27" t="str">
        <v/>
      </c>
      <c r="D102" s="27" t="str">
        <v/>
      </c>
    </row>
    <row r="103" spans="2:4" x14ac:dyDescent="0.25">
      <c r="B103" s="27" t="str">
        <v/>
      </c>
      <c r="C103" s="27" t="str">
        <v/>
      </c>
      <c r="D103" s="27" t="str">
        <v/>
      </c>
    </row>
    <row r="104" spans="2:4" x14ac:dyDescent="0.25">
      <c r="B104" s="27" t="str">
        <v/>
      </c>
      <c r="C104" s="27" t="str">
        <v/>
      </c>
      <c r="D104" s="27" t="str">
        <v/>
      </c>
    </row>
    <row r="105" spans="2:4" x14ac:dyDescent="0.25">
      <c r="B105" s="27" t="str">
        <v/>
      </c>
      <c r="C105" s="27" t="str">
        <v/>
      </c>
      <c r="D105" s="27" t="str">
        <v/>
      </c>
    </row>
    <row r="106" spans="2:4" x14ac:dyDescent="0.25">
      <c r="B106" s="27" t="str">
        <v/>
      </c>
      <c r="C106" s="27" t="str">
        <v/>
      </c>
      <c r="D106" s="27" t="str">
        <v/>
      </c>
    </row>
    <row r="107" spans="2:4" x14ac:dyDescent="0.25">
      <c r="B107" s="27" t="str">
        <v/>
      </c>
      <c r="C107" s="27" t="str">
        <v/>
      </c>
      <c r="D107" s="27" t="str">
        <v/>
      </c>
    </row>
    <row r="108" spans="2:4" x14ac:dyDescent="0.25">
      <c r="B108" s="27" t="str">
        <v/>
      </c>
      <c r="C108" s="27" t="str">
        <v/>
      </c>
      <c r="D108" s="27" t="str">
        <v/>
      </c>
    </row>
    <row r="109" spans="2:4" x14ac:dyDescent="0.25">
      <c r="B109" s="27" t="str">
        <v/>
      </c>
      <c r="C109" s="27" t="str">
        <v/>
      </c>
      <c r="D109" s="27" t="str">
        <v/>
      </c>
    </row>
    <row r="110" spans="2:4" x14ac:dyDescent="0.25">
      <c r="B110" s="27" t="str">
        <v/>
      </c>
      <c r="C110" s="27" t="str">
        <v/>
      </c>
      <c r="D110" s="27" t="str">
        <v/>
      </c>
    </row>
    <row r="111" spans="2:4" x14ac:dyDescent="0.25">
      <c r="B111" s="27" t="str">
        <v/>
      </c>
      <c r="C111" s="27" t="str">
        <v/>
      </c>
      <c r="D111" s="27" t="str">
        <v/>
      </c>
    </row>
    <row r="112" spans="2:4" x14ac:dyDescent="0.25">
      <c r="B112" s="27" t="str">
        <v/>
      </c>
      <c r="C112" s="27" t="str">
        <v/>
      </c>
      <c r="D112" s="27" t="str">
        <v/>
      </c>
    </row>
    <row r="113" spans="2:4" x14ac:dyDescent="0.25">
      <c r="B113" s="27" t="str">
        <v/>
      </c>
      <c r="C113" s="27" t="str">
        <v/>
      </c>
      <c r="D113" s="27" t="str">
        <v/>
      </c>
    </row>
    <row r="114" spans="2:4" x14ac:dyDescent="0.25">
      <c r="B114" s="27" t="str">
        <v/>
      </c>
      <c r="C114" s="27" t="str">
        <v/>
      </c>
      <c r="D114" s="27" t="str">
        <v/>
      </c>
    </row>
    <row r="115" spans="2:4" x14ac:dyDescent="0.25">
      <c r="B115" s="27" t="str">
        <v/>
      </c>
      <c r="C115" s="27" t="str">
        <v/>
      </c>
      <c r="D115" s="27" t="str">
        <v/>
      </c>
    </row>
    <row r="116" spans="2:4" x14ac:dyDescent="0.25">
      <c r="B116" s="27" t="str">
        <v/>
      </c>
      <c r="C116" s="27" t="str">
        <v/>
      </c>
      <c r="D116" s="27" t="str">
        <v/>
      </c>
    </row>
    <row r="117" spans="2:4" x14ac:dyDescent="0.25">
      <c r="B117" s="27" t="str">
        <v/>
      </c>
      <c r="C117" s="27" t="str">
        <v/>
      </c>
      <c r="D117" s="27" t="str">
        <v/>
      </c>
    </row>
    <row r="118" spans="2:4" x14ac:dyDescent="0.25">
      <c r="B118" s="27" t="str">
        <v/>
      </c>
      <c r="C118" s="27" t="str">
        <v/>
      </c>
      <c r="D118" s="27" t="str">
        <v/>
      </c>
    </row>
    <row r="119" spans="2:4" x14ac:dyDescent="0.25">
      <c r="B119" s="27" t="str">
        <v/>
      </c>
      <c r="C119" s="27" t="str">
        <v/>
      </c>
      <c r="D119" s="27" t="str">
        <v/>
      </c>
    </row>
    <row r="120" spans="2:4" x14ac:dyDescent="0.25">
      <c r="B120" s="27" t="str">
        <v/>
      </c>
      <c r="C120" s="27" t="str">
        <v/>
      </c>
      <c r="D120" s="27" t="str">
        <v/>
      </c>
    </row>
    <row r="121" spans="2:4" x14ac:dyDescent="0.25">
      <c r="B121" s="27" t="str">
        <v/>
      </c>
      <c r="C121" s="27" t="str">
        <v/>
      </c>
      <c r="D121" s="27" t="str">
        <v/>
      </c>
    </row>
    <row r="122" spans="2:4" x14ac:dyDescent="0.25">
      <c r="B122" s="27" t="str">
        <v/>
      </c>
      <c r="C122" s="27" t="str">
        <v/>
      </c>
      <c r="D122" s="27" t="str">
        <v/>
      </c>
    </row>
    <row r="123" spans="2:4" x14ac:dyDescent="0.25">
      <c r="B123" s="27" t="str">
        <v/>
      </c>
      <c r="C123" s="27" t="str">
        <v/>
      </c>
      <c r="D123" s="27" t="str">
        <v/>
      </c>
    </row>
    <row r="124" spans="2:4" x14ac:dyDescent="0.25">
      <c r="B124" s="27" t="str">
        <v/>
      </c>
      <c r="C124" s="27" t="str">
        <v/>
      </c>
      <c r="D124" s="27" t="str">
        <v/>
      </c>
    </row>
    <row r="125" spans="2:4" x14ac:dyDescent="0.25">
      <c r="B125" s="27" t="str">
        <v/>
      </c>
      <c r="C125" s="27" t="str">
        <v/>
      </c>
      <c r="D125" s="27" t="str">
        <v/>
      </c>
    </row>
    <row r="126" spans="2:4" x14ac:dyDescent="0.25">
      <c r="B126" s="27" t="str">
        <v/>
      </c>
      <c r="C126" s="27" t="str">
        <v/>
      </c>
      <c r="D126" s="27" t="str">
        <v/>
      </c>
    </row>
    <row r="127" spans="2:4" x14ac:dyDescent="0.25">
      <c r="B127" s="27" t="str">
        <v/>
      </c>
      <c r="C127" s="27" t="str">
        <v/>
      </c>
      <c r="D127" s="27" t="str">
        <v/>
      </c>
    </row>
    <row r="128" spans="2:4" x14ac:dyDescent="0.25">
      <c r="B128" s="27" t="str">
        <v/>
      </c>
      <c r="C128" s="27" t="str">
        <v/>
      </c>
      <c r="D128" s="27" t="str">
        <v/>
      </c>
    </row>
    <row r="129" spans="2:4" x14ac:dyDescent="0.25">
      <c r="B129" s="27" t="str">
        <v/>
      </c>
      <c r="C129" s="27" t="str">
        <v/>
      </c>
      <c r="D129" s="27" t="str">
        <v/>
      </c>
    </row>
    <row r="130" spans="2:4" x14ac:dyDescent="0.25">
      <c r="B130" s="27" t="str">
        <v/>
      </c>
      <c r="C130" s="27" t="str">
        <v/>
      </c>
      <c r="D130" s="27" t="str">
        <v/>
      </c>
    </row>
    <row r="131" spans="2:4" x14ac:dyDescent="0.25">
      <c r="B131" s="27" t="str">
        <v/>
      </c>
      <c r="C131" s="27" t="str">
        <v/>
      </c>
      <c r="D131" s="27" t="str">
        <v/>
      </c>
    </row>
    <row r="132" spans="2:4" x14ac:dyDescent="0.25">
      <c r="B132" s="27" t="str">
        <v/>
      </c>
      <c r="C132" s="27" t="str">
        <v/>
      </c>
      <c r="D132" s="27" t="str">
        <v/>
      </c>
    </row>
    <row r="133" spans="2:4" x14ac:dyDescent="0.25">
      <c r="B133" s="27" t="str">
        <v/>
      </c>
      <c r="C133" s="27" t="str">
        <v/>
      </c>
      <c r="D133" s="27" t="str">
        <v/>
      </c>
    </row>
    <row r="134" spans="2:4" x14ac:dyDescent="0.25">
      <c r="B134" s="27" t="str">
        <v/>
      </c>
      <c r="C134" s="27" t="str">
        <v/>
      </c>
      <c r="D134" s="27" t="str">
        <v/>
      </c>
    </row>
    <row r="135" spans="2:4" x14ac:dyDescent="0.25">
      <c r="B135" s="27" t="str">
        <v/>
      </c>
      <c r="C135" s="27" t="str">
        <v/>
      </c>
      <c r="D135" s="27" t="str">
        <v/>
      </c>
    </row>
    <row r="136" spans="2:4" x14ac:dyDescent="0.25">
      <c r="B136" s="27" t="str">
        <v/>
      </c>
      <c r="C136" s="27" t="str">
        <v/>
      </c>
      <c r="D136" s="27" t="str">
        <v/>
      </c>
    </row>
    <row r="137" spans="2:4" x14ac:dyDescent="0.25">
      <c r="B137" s="27" t="str">
        <v/>
      </c>
      <c r="C137" s="27" t="str">
        <v/>
      </c>
      <c r="D137" s="27" t="str">
        <v/>
      </c>
    </row>
    <row r="138" spans="2:4" x14ac:dyDescent="0.25">
      <c r="B138" s="27" t="str">
        <v/>
      </c>
      <c r="C138" s="27" t="str">
        <v/>
      </c>
      <c r="D138" s="27" t="str">
        <v/>
      </c>
    </row>
    <row r="139" spans="2:4" x14ac:dyDescent="0.25">
      <c r="B139" s="27" t="str">
        <v/>
      </c>
      <c r="C139" s="27" t="str">
        <v/>
      </c>
      <c r="D139" s="27" t="str">
        <v/>
      </c>
    </row>
    <row r="140" spans="2:4" x14ac:dyDescent="0.25">
      <c r="B140" s="27" t="str">
        <v/>
      </c>
      <c r="C140" s="27" t="str">
        <v/>
      </c>
      <c r="D140" s="27" t="str">
        <v/>
      </c>
    </row>
    <row r="141" spans="2:4" x14ac:dyDescent="0.25">
      <c r="B141" s="27" t="str">
        <v/>
      </c>
      <c r="C141" s="27" t="str">
        <v/>
      </c>
      <c r="D141" s="27" t="str">
        <v/>
      </c>
    </row>
    <row r="142" spans="2:4" x14ac:dyDescent="0.25">
      <c r="B142" s="27" t="str">
        <v/>
      </c>
      <c r="C142" s="27" t="str">
        <v/>
      </c>
      <c r="D142" s="27" t="str">
        <v/>
      </c>
    </row>
    <row r="143" spans="2:4" x14ac:dyDescent="0.25">
      <c r="B143" s="27" t="str">
        <v/>
      </c>
      <c r="C143" s="27" t="str">
        <v/>
      </c>
      <c r="D143" s="27" t="str">
        <v/>
      </c>
    </row>
    <row r="144" spans="2:4" x14ac:dyDescent="0.25">
      <c r="B144" s="27" t="str">
        <v/>
      </c>
      <c r="C144" s="27" t="str">
        <v/>
      </c>
      <c r="D144" s="27" t="str">
        <v/>
      </c>
    </row>
    <row r="145" spans="2:4" x14ac:dyDescent="0.25">
      <c r="B145" s="27" t="str">
        <v/>
      </c>
      <c r="C145" s="27" t="str">
        <v/>
      </c>
      <c r="D145" s="27" t="str">
        <v/>
      </c>
    </row>
    <row r="146" spans="2:4" x14ac:dyDescent="0.25">
      <c r="B146" s="27" t="str">
        <v/>
      </c>
      <c r="C146" s="27" t="str">
        <v/>
      </c>
      <c r="D146" s="27" t="str">
        <v/>
      </c>
    </row>
    <row r="147" spans="2:4" x14ac:dyDescent="0.25">
      <c r="B147" s="27" t="str">
        <v/>
      </c>
      <c r="C147" s="27" t="str">
        <v/>
      </c>
      <c r="D147" s="27" t="str">
        <v/>
      </c>
    </row>
    <row r="148" spans="2:4" x14ac:dyDescent="0.25">
      <c r="B148" s="27" t="str">
        <v/>
      </c>
      <c r="C148" s="27" t="str">
        <v/>
      </c>
      <c r="D148" s="27" t="str">
        <v/>
      </c>
    </row>
    <row r="149" spans="2:4" x14ac:dyDescent="0.25">
      <c r="B149" s="27" t="str">
        <v/>
      </c>
      <c r="C149" s="27" t="str">
        <v/>
      </c>
      <c r="D149" s="27" t="str">
        <v/>
      </c>
    </row>
    <row r="150" spans="2:4" x14ac:dyDescent="0.25">
      <c r="B150" s="27" t="str">
        <v/>
      </c>
      <c r="C150" s="27" t="str">
        <v/>
      </c>
      <c r="D150" s="27" t="str">
        <v/>
      </c>
    </row>
    <row r="151" spans="2:4" x14ac:dyDescent="0.25">
      <c r="B151" s="27" t="str">
        <v/>
      </c>
      <c r="C151" s="27" t="str">
        <v/>
      </c>
      <c r="D151" s="27" t="str">
        <v/>
      </c>
    </row>
    <row r="152" spans="2:4" x14ac:dyDescent="0.25">
      <c r="B152" s="27" t="str">
        <v/>
      </c>
      <c r="C152" s="27" t="str">
        <v/>
      </c>
      <c r="D152" s="27" t="str">
        <v/>
      </c>
    </row>
    <row r="153" spans="2:4" x14ac:dyDescent="0.25">
      <c r="B153" s="27" t="str">
        <v/>
      </c>
      <c r="C153" s="27" t="str">
        <v/>
      </c>
      <c r="D153" s="27" t="str">
        <v/>
      </c>
    </row>
    <row r="154" spans="2:4" x14ac:dyDescent="0.25">
      <c r="B154" s="27" t="str">
        <v/>
      </c>
      <c r="C154" s="27" t="str">
        <v/>
      </c>
      <c r="D154" s="27" t="str">
        <v/>
      </c>
    </row>
    <row r="155" spans="2:4" x14ac:dyDescent="0.25">
      <c r="B155" s="27" t="str">
        <v/>
      </c>
      <c r="C155" s="27" t="str">
        <v/>
      </c>
      <c r="D155" s="27" t="str">
        <v/>
      </c>
    </row>
    <row r="156" spans="2:4" x14ac:dyDescent="0.25">
      <c r="B156" s="27" t="str">
        <v/>
      </c>
      <c r="C156" s="27" t="str">
        <v/>
      </c>
      <c r="D156" s="27" t="str">
        <v/>
      </c>
    </row>
    <row r="157" spans="2:4" x14ac:dyDescent="0.25">
      <c r="B157" s="27" t="str">
        <v/>
      </c>
      <c r="C157" s="27" t="str">
        <v/>
      </c>
      <c r="D157" s="27" t="str">
        <v/>
      </c>
    </row>
    <row r="158" spans="2:4" x14ac:dyDescent="0.25">
      <c r="B158" s="27" t="str">
        <v/>
      </c>
      <c r="C158" s="27" t="str">
        <v/>
      </c>
      <c r="D158" s="27" t="str">
        <v/>
      </c>
    </row>
    <row r="159" spans="2:4" x14ac:dyDescent="0.25">
      <c r="B159" s="27" t="str">
        <v/>
      </c>
      <c r="C159" s="27" t="str">
        <v/>
      </c>
      <c r="D159" s="27" t="str">
        <v/>
      </c>
    </row>
    <row r="160" spans="2:4" x14ac:dyDescent="0.25">
      <c r="B160" s="27" t="str">
        <v/>
      </c>
      <c r="C160" s="27" t="str">
        <v/>
      </c>
      <c r="D160" s="27" t="str">
        <v/>
      </c>
    </row>
    <row r="161" spans="2:4" x14ac:dyDescent="0.25">
      <c r="B161" s="27" t="str">
        <v/>
      </c>
      <c r="C161" s="27" t="str">
        <v/>
      </c>
      <c r="D161" s="27" t="str">
        <v/>
      </c>
    </row>
    <row r="162" spans="2:4" x14ac:dyDescent="0.25">
      <c r="B162" s="27" t="str">
        <v/>
      </c>
      <c r="C162" s="27" t="str">
        <v/>
      </c>
      <c r="D162" s="27" t="str">
        <v/>
      </c>
    </row>
    <row r="163" spans="2:4" x14ac:dyDescent="0.25">
      <c r="B163" s="27" t="str">
        <v/>
      </c>
      <c r="C163" s="27" t="str">
        <v/>
      </c>
      <c r="D163" s="27" t="str">
        <v/>
      </c>
    </row>
    <row r="164" spans="2:4" x14ac:dyDescent="0.25">
      <c r="B164" s="27" t="str">
        <v/>
      </c>
      <c r="C164" s="27" t="str">
        <v/>
      </c>
      <c r="D164" s="27" t="str">
        <v/>
      </c>
    </row>
    <row r="165" spans="2:4" x14ac:dyDescent="0.25">
      <c r="B165" s="27" t="str">
        <v/>
      </c>
      <c r="C165" s="27" t="str">
        <v/>
      </c>
      <c r="D165" s="27" t="str">
        <v/>
      </c>
    </row>
    <row r="166" spans="2:4" x14ac:dyDescent="0.25">
      <c r="B166" s="27" t="str">
        <v/>
      </c>
      <c r="C166" s="27" t="str">
        <v/>
      </c>
      <c r="D166" s="27" t="str">
        <v/>
      </c>
    </row>
    <row r="167" spans="2:4" x14ac:dyDescent="0.25">
      <c r="B167" s="27" t="str">
        <v/>
      </c>
      <c r="C167" s="27" t="str">
        <v/>
      </c>
      <c r="D167" s="27" t="str">
        <v/>
      </c>
    </row>
    <row r="168" spans="2:4" x14ac:dyDescent="0.25">
      <c r="B168" s="27" t="str">
        <v/>
      </c>
      <c r="C168" s="27" t="str">
        <v/>
      </c>
      <c r="D168" s="27" t="str">
        <v/>
      </c>
    </row>
    <row r="169" spans="2:4" x14ac:dyDescent="0.25">
      <c r="B169" s="27" t="str">
        <v/>
      </c>
      <c r="C169" s="27" t="str">
        <v/>
      </c>
      <c r="D169" s="27" t="str">
        <v/>
      </c>
    </row>
    <row r="170" spans="2:4" x14ac:dyDescent="0.25">
      <c r="B170" s="27" t="str">
        <v/>
      </c>
      <c r="C170" s="27" t="str">
        <v/>
      </c>
      <c r="D170" s="27" t="str">
        <v/>
      </c>
    </row>
    <row r="171" spans="2:4" x14ac:dyDescent="0.25">
      <c r="B171" s="27" t="str">
        <v/>
      </c>
      <c r="C171" s="27" t="str">
        <v/>
      </c>
      <c r="D171" s="27" t="str">
        <v/>
      </c>
    </row>
    <row r="172" spans="2:4" x14ac:dyDescent="0.25">
      <c r="B172" s="27" t="str">
        <v/>
      </c>
      <c r="C172" s="27" t="str">
        <v/>
      </c>
      <c r="D172" s="27" t="str">
        <v/>
      </c>
    </row>
    <row r="173" spans="2:4" x14ac:dyDescent="0.25">
      <c r="B173" s="27" t="str">
        <v/>
      </c>
      <c r="C173" s="27" t="str">
        <v/>
      </c>
      <c r="D173" s="27" t="str">
        <v/>
      </c>
    </row>
    <row r="174" spans="2:4" x14ac:dyDescent="0.25">
      <c r="B174" s="27" t="str">
        <v/>
      </c>
      <c r="C174" s="27" t="str">
        <v/>
      </c>
      <c r="D174" s="27" t="str">
        <v/>
      </c>
    </row>
    <row r="175" spans="2:4" x14ac:dyDescent="0.25">
      <c r="B175" s="27" t="str">
        <v/>
      </c>
      <c r="C175" s="27" t="str">
        <v/>
      </c>
      <c r="D175" s="27" t="str">
        <v/>
      </c>
    </row>
    <row r="176" spans="2:4" x14ac:dyDescent="0.25">
      <c r="B176" s="27" t="str">
        <v/>
      </c>
      <c r="C176" s="27" t="str">
        <v/>
      </c>
      <c r="D176" s="27" t="str">
        <v/>
      </c>
    </row>
    <row r="177" spans="2:4" x14ac:dyDescent="0.25">
      <c r="B177" s="27" t="str">
        <v/>
      </c>
      <c r="C177" s="27" t="str">
        <v/>
      </c>
      <c r="D177" s="27" t="str">
        <v/>
      </c>
    </row>
    <row r="178" spans="2:4" x14ac:dyDescent="0.25">
      <c r="B178" s="27" t="str">
        <v/>
      </c>
      <c r="C178" s="27" t="str">
        <v/>
      </c>
      <c r="D178" s="27" t="str">
        <v/>
      </c>
    </row>
    <row r="179" spans="2:4" x14ac:dyDescent="0.25">
      <c r="B179" s="27" t="str">
        <v/>
      </c>
      <c r="C179" s="27" t="str">
        <v/>
      </c>
      <c r="D179" s="27" t="str">
        <v/>
      </c>
    </row>
    <row r="180" spans="2:4" x14ac:dyDescent="0.25">
      <c r="B180" s="27" t="str">
        <v/>
      </c>
      <c r="C180" s="27" t="str">
        <v/>
      </c>
      <c r="D180" s="27" t="str">
        <v/>
      </c>
    </row>
    <row r="181" spans="2:4" x14ac:dyDescent="0.25">
      <c r="B181" s="27" t="str">
        <v/>
      </c>
      <c r="C181" s="27" t="str">
        <v/>
      </c>
      <c r="D181" s="27" t="str">
        <v/>
      </c>
    </row>
    <row r="182" spans="2:4" x14ac:dyDescent="0.25">
      <c r="B182" s="27" t="str">
        <v/>
      </c>
      <c r="C182" s="27" t="str">
        <v/>
      </c>
      <c r="D182" s="27" t="str">
        <v/>
      </c>
    </row>
    <row r="183" spans="2:4" x14ac:dyDescent="0.25">
      <c r="B183" s="27" t="str">
        <v/>
      </c>
      <c r="C183" s="27" t="str">
        <v/>
      </c>
      <c r="D183" s="27" t="str">
        <v/>
      </c>
    </row>
    <row r="184" spans="2:4" x14ac:dyDescent="0.25">
      <c r="B184" s="27" t="str">
        <v/>
      </c>
      <c r="C184" s="27" t="str">
        <v/>
      </c>
      <c r="D184" s="27" t="str">
        <v/>
      </c>
    </row>
    <row r="185" spans="2:4" x14ac:dyDescent="0.25">
      <c r="B185" s="27" t="str">
        <v/>
      </c>
      <c r="C185" s="27" t="str">
        <v/>
      </c>
      <c r="D185" s="27" t="str">
        <v/>
      </c>
    </row>
    <row r="186" spans="2:4" x14ac:dyDescent="0.25">
      <c r="B186" s="27" t="str">
        <v/>
      </c>
      <c r="C186" s="27" t="str">
        <v/>
      </c>
      <c r="D186" s="27" t="str">
        <v/>
      </c>
    </row>
    <row r="187" spans="2:4" x14ac:dyDescent="0.25">
      <c r="B187" s="27" t="str">
        <v/>
      </c>
      <c r="C187" s="27" t="str">
        <v/>
      </c>
      <c r="D187" s="27" t="str">
        <v/>
      </c>
    </row>
    <row r="188" spans="2:4" x14ac:dyDescent="0.25">
      <c r="B188" s="27" t="str">
        <v/>
      </c>
      <c r="C188" s="27" t="str">
        <v/>
      </c>
      <c r="D188" s="27" t="str">
        <v/>
      </c>
    </row>
    <row r="189" spans="2:4" x14ac:dyDescent="0.25">
      <c r="B189" s="27" t="str">
        <v/>
      </c>
      <c r="C189" s="27" t="str">
        <v/>
      </c>
      <c r="D189" s="27" t="str">
        <v/>
      </c>
    </row>
    <row r="190" spans="2:4" x14ac:dyDescent="0.25">
      <c r="B190" s="27" t="str">
        <v/>
      </c>
      <c r="C190" s="27" t="str">
        <v/>
      </c>
      <c r="D190" s="27" t="str">
        <v/>
      </c>
    </row>
    <row r="191" spans="2:4" x14ac:dyDescent="0.25">
      <c r="B191" s="27" t="str">
        <v/>
      </c>
      <c r="C191" s="27" t="str">
        <v/>
      </c>
      <c r="D191" s="27" t="str">
        <v/>
      </c>
    </row>
    <row r="192" spans="2:4" x14ac:dyDescent="0.25">
      <c r="B192" s="27" t="str">
        <v/>
      </c>
      <c r="C192" s="27" t="str">
        <v/>
      </c>
      <c r="D192" s="27" t="str">
        <v/>
      </c>
    </row>
    <row r="193" spans="2:4" x14ac:dyDescent="0.25">
      <c r="B193" s="27" t="str">
        <v/>
      </c>
      <c r="C193" s="27" t="str">
        <v/>
      </c>
      <c r="D193" s="27" t="str">
        <v/>
      </c>
    </row>
    <row r="194" spans="2:4" x14ac:dyDescent="0.25">
      <c r="B194" s="27" t="str">
        <v/>
      </c>
      <c r="C194" s="27" t="str">
        <v/>
      </c>
      <c r="D194" s="27" t="str">
        <v/>
      </c>
    </row>
    <row r="195" spans="2:4" x14ac:dyDescent="0.25">
      <c r="B195" s="27" t="str">
        <v/>
      </c>
      <c r="C195" s="27" t="str">
        <v/>
      </c>
      <c r="D195" s="27" t="str">
        <v/>
      </c>
    </row>
    <row r="196" spans="2:4" x14ac:dyDescent="0.25">
      <c r="B196" s="27" t="str">
        <v/>
      </c>
      <c r="C196" s="27" t="str">
        <v/>
      </c>
      <c r="D196" s="27" t="str">
        <v/>
      </c>
    </row>
    <row r="197" spans="2:4" x14ac:dyDescent="0.25">
      <c r="B197" s="27" t="str">
        <v/>
      </c>
      <c r="C197" s="27" t="str">
        <v/>
      </c>
      <c r="D197" s="27" t="str">
        <v/>
      </c>
    </row>
    <row r="198" spans="2:4" x14ac:dyDescent="0.25">
      <c r="B198" s="27" t="str">
        <v/>
      </c>
      <c r="C198" s="27" t="str">
        <v/>
      </c>
      <c r="D198" s="27" t="str">
        <v/>
      </c>
    </row>
    <row r="199" spans="2:4" x14ac:dyDescent="0.25">
      <c r="B199" s="27" t="str">
        <v/>
      </c>
      <c r="C199" s="27" t="str">
        <v/>
      </c>
      <c r="D199" s="27" t="str">
        <v/>
      </c>
    </row>
    <row r="200" spans="2:4" x14ac:dyDescent="0.25">
      <c r="B200" s="27" t="str">
        <v/>
      </c>
      <c r="C200" s="27" t="str">
        <v/>
      </c>
      <c r="D200" s="27" t="str">
        <v/>
      </c>
    </row>
    <row r="201" spans="2:4" x14ac:dyDescent="0.25">
      <c r="B201" s="27" t="str">
        <v/>
      </c>
      <c r="C201" s="27" t="str">
        <v/>
      </c>
      <c r="D201" s="27" t="str">
        <v/>
      </c>
    </row>
    <row r="202" spans="2:4" x14ac:dyDescent="0.25">
      <c r="B202" s="27" t="str">
        <v/>
      </c>
      <c r="C202" s="27" t="str">
        <v/>
      </c>
      <c r="D202" s="27" t="str">
        <v/>
      </c>
    </row>
    <row r="203" spans="2:4" x14ac:dyDescent="0.25">
      <c r="B203" s="27" t="str">
        <v/>
      </c>
      <c r="C203" s="27" t="str">
        <v/>
      </c>
      <c r="D203" s="27" t="str">
        <v/>
      </c>
    </row>
    <row r="204" spans="2:4" x14ac:dyDescent="0.25">
      <c r="B204" s="27" t="str">
        <v/>
      </c>
      <c r="C204" s="27" t="str">
        <v/>
      </c>
      <c r="D204" s="27" t="str">
        <v/>
      </c>
    </row>
    <row r="205" spans="2:4" x14ac:dyDescent="0.25">
      <c r="B205" s="27" t="str">
        <v/>
      </c>
      <c r="C205" s="27" t="str">
        <v/>
      </c>
      <c r="D205" s="27" t="str">
        <v/>
      </c>
    </row>
    <row r="206" spans="2:4" x14ac:dyDescent="0.25">
      <c r="B206" s="27" t="str">
        <v/>
      </c>
      <c r="C206" s="27" t="str">
        <v/>
      </c>
      <c r="D206" s="27" t="str">
        <v/>
      </c>
    </row>
    <row r="207" spans="2:4" x14ac:dyDescent="0.25">
      <c r="B207" s="27" t="str">
        <v/>
      </c>
      <c r="C207" s="27" t="str">
        <v/>
      </c>
      <c r="D207" s="27" t="str">
        <v/>
      </c>
    </row>
    <row r="208" spans="2:4" x14ac:dyDescent="0.25">
      <c r="B208" s="27" t="str">
        <v/>
      </c>
      <c r="C208" s="27" t="str">
        <v/>
      </c>
      <c r="D208" s="27" t="str">
        <v/>
      </c>
    </row>
    <row r="209" spans="2:4" x14ac:dyDescent="0.25">
      <c r="B209" s="27" t="str">
        <v/>
      </c>
      <c r="C209" s="27" t="str">
        <v/>
      </c>
      <c r="D209" s="27" t="str">
        <v/>
      </c>
    </row>
    <row r="210" spans="2:4" x14ac:dyDescent="0.25">
      <c r="B210" s="27" t="str">
        <v/>
      </c>
      <c r="C210" s="27" t="str">
        <v/>
      </c>
      <c r="D210" s="27" t="str">
        <v/>
      </c>
    </row>
    <row r="211" spans="2:4" x14ac:dyDescent="0.25">
      <c r="B211" s="27" t="str">
        <v/>
      </c>
      <c r="C211" s="27" t="str">
        <v/>
      </c>
      <c r="D211" s="27" t="str">
        <v/>
      </c>
    </row>
    <row r="212" spans="2:4" x14ac:dyDescent="0.25">
      <c r="B212" s="27" t="str">
        <v/>
      </c>
      <c r="C212" s="27" t="str">
        <v/>
      </c>
      <c r="D212" s="27" t="str">
        <v/>
      </c>
    </row>
    <row r="213" spans="2:4" x14ac:dyDescent="0.25">
      <c r="B213" s="27" t="str">
        <v/>
      </c>
      <c r="C213" s="27" t="str">
        <v/>
      </c>
      <c r="D213" s="27" t="str">
        <v/>
      </c>
    </row>
    <row r="214" spans="2:4" x14ac:dyDescent="0.25">
      <c r="B214" s="27" t="str">
        <v/>
      </c>
      <c r="C214" s="27" t="str">
        <v/>
      </c>
      <c r="D214" s="27" t="str">
        <v/>
      </c>
    </row>
    <row r="215" spans="2:4" x14ac:dyDescent="0.25">
      <c r="B215" s="27" t="str">
        <v/>
      </c>
      <c r="C215" s="27" t="str">
        <v/>
      </c>
      <c r="D215" s="27" t="str">
        <v/>
      </c>
    </row>
    <row r="216" spans="2:4" x14ac:dyDescent="0.25">
      <c r="B216" s="27" t="str">
        <v/>
      </c>
      <c r="C216" s="27" t="str">
        <v/>
      </c>
      <c r="D216" s="27" t="str">
        <v/>
      </c>
    </row>
    <row r="217" spans="2:4" x14ac:dyDescent="0.25">
      <c r="B217" s="27" t="str">
        <v/>
      </c>
      <c r="C217" s="27" t="str">
        <v/>
      </c>
      <c r="D217" s="27" t="str">
        <v/>
      </c>
    </row>
    <row r="218" spans="2:4" x14ac:dyDescent="0.25">
      <c r="B218" s="27" t="str">
        <v/>
      </c>
      <c r="C218" s="27" t="str">
        <v/>
      </c>
      <c r="D218" s="27" t="str">
        <v/>
      </c>
    </row>
    <row r="219" spans="2:4" x14ac:dyDescent="0.25">
      <c r="B219" s="27" t="str">
        <v/>
      </c>
      <c r="C219" s="27" t="str">
        <v/>
      </c>
      <c r="D219" s="27" t="str">
        <v/>
      </c>
    </row>
    <row r="220" spans="2:4" x14ac:dyDescent="0.25">
      <c r="B220" s="27" t="str">
        <v/>
      </c>
      <c r="C220" s="27" t="str">
        <v/>
      </c>
      <c r="D220" s="27" t="str">
        <v/>
      </c>
    </row>
    <row r="221" spans="2:4" x14ac:dyDescent="0.25">
      <c r="B221" s="27" t="str">
        <v/>
      </c>
      <c r="C221" s="27" t="str">
        <v/>
      </c>
      <c r="D221" s="27" t="str">
        <v/>
      </c>
    </row>
    <row r="222" spans="2:4" x14ac:dyDescent="0.25">
      <c r="B222" s="27" t="str">
        <v/>
      </c>
      <c r="C222" s="27" t="str">
        <v/>
      </c>
      <c r="D222" s="27" t="str">
        <v/>
      </c>
    </row>
    <row r="223" spans="2:4" x14ac:dyDescent="0.25">
      <c r="B223" s="27" t="str">
        <v/>
      </c>
      <c r="C223" s="27" t="str">
        <v/>
      </c>
      <c r="D223" s="27" t="str">
        <v/>
      </c>
    </row>
    <row r="224" spans="2:4" x14ac:dyDescent="0.25">
      <c r="B224" s="27" t="str">
        <v/>
      </c>
      <c r="C224" s="27" t="str">
        <v/>
      </c>
      <c r="D224" s="27" t="str">
        <v/>
      </c>
    </row>
    <row r="225" spans="2:4" x14ac:dyDescent="0.25">
      <c r="B225" s="27" t="str">
        <v/>
      </c>
      <c r="C225" s="27" t="str">
        <v/>
      </c>
      <c r="D225" s="27" t="str">
        <v/>
      </c>
    </row>
    <row r="226" spans="2:4" x14ac:dyDescent="0.25">
      <c r="B226" s="27" t="str">
        <v/>
      </c>
      <c r="C226" s="27" t="str">
        <v/>
      </c>
      <c r="D226" s="27" t="str">
        <v/>
      </c>
    </row>
    <row r="227" spans="2:4" x14ac:dyDescent="0.25">
      <c r="B227" s="27" t="str">
        <v/>
      </c>
      <c r="C227" s="27" t="str">
        <v/>
      </c>
      <c r="D227" s="27" t="str">
        <v/>
      </c>
    </row>
    <row r="228" spans="2:4" x14ac:dyDescent="0.25">
      <c r="B228" s="27" t="str">
        <v/>
      </c>
      <c r="C228" s="27" t="str">
        <v/>
      </c>
      <c r="D228" s="27" t="str">
        <v/>
      </c>
    </row>
    <row r="229" spans="2:4" x14ac:dyDescent="0.25">
      <c r="B229" s="27" t="str">
        <v/>
      </c>
      <c r="C229" s="27" t="str">
        <v/>
      </c>
      <c r="D229" s="27" t="str">
        <v/>
      </c>
    </row>
    <row r="230" spans="2:4" x14ac:dyDescent="0.25">
      <c r="B230" s="27" t="str">
        <v/>
      </c>
      <c r="C230" s="27" t="str">
        <v/>
      </c>
      <c r="D230" s="27" t="str">
        <v/>
      </c>
    </row>
    <row r="231" spans="2:4" x14ac:dyDescent="0.25">
      <c r="B231" s="27" t="str">
        <v/>
      </c>
      <c r="C231" s="27" t="str">
        <v/>
      </c>
      <c r="D231" s="27" t="str">
        <v/>
      </c>
    </row>
    <row r="232" spans="2:4" x14ac:dyDescent="0.25">
      <c r="B232" s="27" t="str">
        <v/>
      </c>
      <c r="C232" s="27" t="str">
        <v/>
      </c>
      <c r="D232" s="27" t="str">
        <v/>
      </c>
    </row>
    <row r="233" spans="2:4" x14ac:dyDescent="0.25">
      <c r="B233" s="27" t="str">
        <v/>
      </c>
      <c r="C233" s="27" t="str">
        <v/>
      </c>
      <c r="D233" s="27" t="str">
        <v/>
      </c>
    </row>
    <row r="234" spans="2:4" x14ac:dyDescent="0.25">
      <c r="B234" s="27" t="str">
        <v/>
      </c>
      <c r="C234" s="27" t="str">
        <v/>
      </c>
      <c r="D234" s="27" t="str">
        <v/>
      </c>
    </row>
    <row r="235" spans="2:4" x14ac:dyDescent="0.25">
      <c r="B235" s="27" t="str">
        <v/>
      </c>
      <c r="C235" s="27" t="str">
        <v/>
      </c>
      <c r="D235" s="27" t="str">
        <v/>
      </c>
    </row>
    <row r="236" spans="2:4" x14ac:dyDescent="0.25">
      <c r="B236" s="27" t="str">
        <v/>
      </c>
      <c r="C236" s="27" t="str">
        <v/>
      </c>
      <c r="D236" s="27" t="str">
        <v/>
      </c>
    </row>
    <row r="237" spans="2:4" x14ac:dyDescent="0.25">
      <c r="B237" s="27" t="str">
        <v/>
      </c>
      <c r="C237" s="27" t="str">
        <v/>
      </c>
      <c r="D237" s="27" t="str">
        <v/>
      </c>
    </row>
    <row r="238" spans="2:4" x14ac:dyDescent="0.25">
      <c r="B238" s="27" t="str">
        <v/>
      </c>
      <c r="C238" s="27" t="str">
        <v/>
      </c>
      <c r="D238" s="27" t="str">
        <v/>
      </c>
    </row>
    <row r="239" spans="2:4" x14ac:dyDescent="0.25">
      <c r="B239" s="27" t="str">
        <v/>
      </c>
      <c r="C239" s="27" t="str">
        <v/>
      </c>
      <c r="D239" s="27" t="str">
        <v/>
      </c>
    </row>
    <row r="240" spans="2:4" x14ac:dyDescent="0.25">
      <c r="B240" s="27" t="str">
        <v/>
      </c>
      <c r="C240" s="27" t="str">
        <v/>
      </c>
      <c r="D240" s="27" t="str">
        <v/>
      </c>
    </row>
    <row r="241" spans="2:4" x14ac:dyDescent="0.25">
      <c r="B241" s="27" t="str">
        <v/>
      </c>
      <c r="C241" s="27" t="str">
        <v/>
      </c>
      <c r="D241" s="27" t="str">
        <v/>
      </c>
    </row>
    <row r="242" spans="2:4" x14ac:dyDescent="0.25">
      <c r="B242" s="27" t="str">
        <v/>
      </c>
      <c r="C242" s="27" t="str">
        <v/>
      </c>
      <c r="D242" s="27" t="str">
        <v/>
      </c>
    </row>
    <row r="243" spans="2:4" x14ac:dyDescent="0.25">
      <c r="B243" s="27" t="str">
        <v/>
      </c>
      <c r="C243" s="27" t="str">
        <v/>
      </c>
      <c r="D243" s="27" t="str">
        <v/>
      </c>
    </row>
    <row r="244" spans="2:4" x14ac:dyDescent="0.25">
      <c r="B244" s="27" t="str">
        <v/>
      </c>
      <c r="C244" s="27" t="str">
        <v/>
      </c>
      <c r="D244" s="27" t="str">
        <v/>
      </c>
    </row>
    <row r="245" spans="2:4" x14ac:dyDescent="0.25">
      <c r="B245" s="27" t="str">
        <v/>
      </c>
      <c r="C245" s="27" t="str">
        <v/>
      </c>
      <c r="D245" s="27" t="str">
        <v/>
      </c>
    </row>
    <row r="246" spans="2:4" x14ac:dyDescent="0.25">
      <c r="B246" s="27" t="str">
        <v/>
      </c>
      <c r="C246" s="27" t="str">
        <v/>
      </c>
      <c r="D246" s="27" t="str">
        <v/>
      </c>
    </row>
    <row r="247" spans="2:4" x14ac:dyDescent="0.25">
      <c r="B247" s="27" t="str">
        <v/>
      </c>
      <c r="C247" s="27" t="str">
        <v/>
      </c>
      <c r="D247" s="27" t="str">
        <v/>
      </c>
    </row>
    <row r="248" spans="2:4" x14ac:dyDescent="0.25">
      <c r="B248" s="27" t="str">
        <v/>
      </c>
      <c r="C248" s="27" t="str">
        <v/>
      </c>
      <c r="D248" s="27" t="str">
        <v/>
      </c>
    </row>
    <row r="249" spans="2:4" x14ac:dyDescent="0.25">
      <c r="B249" s="27" t="str">
        <v/>
      </c>
      <c r="C249" s="27" t="str">
        <v/>
      </c>
      <c r="D249" s="27" t="str">
        <v/>
      </c>
    </row>
    <row r="250" spans="2:4" x14ac:dyDescent="0.25">
      <c r="B250" s="27" t="str">
        <v/>
      </c>
      <c r="C250" s="27" t="str">
        <v/>
      </c>
      <c r="D250" s="27" t="str">
        <v/>
      </c>
    </row>
    <row r="251" spans="2:4" x14ac:dyDescent="0.25">
      <c r="B251" s="27" t="str">
        <v/>
      </c>
      <c r="C251" s="27" t="str">
        <v/>
      </c>
      <c r="D251" s="27" t="str">
        <v/>
      </c>
    </row>
    <row r="252" spans="2:4" x14ac:dyDescent="0.25">
      <c r="B252" s="27" t="str">
        <v/>
      </c>
      <c r="C252" s="27" t="str">
        <v/>
      </c>
      <c r="D252" s="27" t="str">
        <v/>
      </c>
    </row>
    <row r="253" spans="2:4" x14ac:dyDescent="0.25">
      <c r="B253" s="27" t="str">
        <v/>
      </c>
      <c r="C253" s="27" t="str">
        <v/>
      </c>
      <c r="D253" s="27" t="str">
        <v/>
      </c>
    </row>
    <row r="254" spans="2:4" x14ac:dyDescent="0.25">
      <c r="B254" s="27" t="str">
        <v/>
      </c>
      <c r="C254" s="27" t="str">
        <v/>
      </c>
      <c r="D254" s="27" t="str">
        <v/>
      </c>
    </row>
    <row r="255" spans="2:4" x14ac:dyDescent="0.25">
      <c r="B255" s="27" t="str">
        <v/>
      </c>
      <c r="C255" s="27" t="str">
        <v/>
      </c>
      <c r="D255" s="27" t="str">
        <v/>
      </c>
    </row>
    <row r="256" spans="2:4" x14ac:dyDescent="0.25">
      <c r="B256" s="27" t="str">
        <v/>
      </c>
      <c r="C256" s="27" t="str">
        <v/>
      </c>
      <c r="D256" s="27" t="str">
        <v/>
      </c>
    </row>
    <row r="257" spans="2:4" x14ac:dyDescent="0.25">
      <c r="B257" s="27" t="str">
        <v/>
      </c>
      <c r="C257" s="27" t="str">
        <v/>
      </c>
      <c r="D257" s="27" t="str">
        <v/>
      </c>
    </row>
    <row r="258" spans="2:4" x14ac:dyDescent="0.25">
      <c r="B258" s="27" t="str">
        <v/>
      </c>
      <c r="C258" s="27" t="str">
        <v/>
      </c>
      <c r="D258" s="27" t="str">
        <v/>
      </c>
    </row>
    <row r="259" spans="2:4" x14ac:dyDescent="0.25">
      <c r="B259" s="27" t="str">
        <v/>
      </c>
      <c r="C259" s="27" t="str">
        <v/>
      </c>
      <c r="D259" s="27" t="str">
        <v/>
      </c>
    </row>
    <row r="260" spans="2:4" x14ac:dyDescent="0.25">
      <c r="B260" s="27" t="str">
        <v/>
      </c>
      <c r="C260" s="27" t="str">
        <v/>
      </c>
      <c r="D260" s="27" t="str">
        <v/>
      </c>
    </row>
    <row r="261" spans="2:4" x14ac:dyDescent="0.25">
      <c r="B261" s="27" t="str">
        <v/>
      </c>
      <c r="C261" s="27" t="str">
        <v/>
      </c>
      <c r="D261" s="27" t="str">
        <v/>
      </c>
    </row>
    <row r="262" spans="2:4" x14ac:dyDescent="0.25">
      <c r="B262" s="27" t="str">
        <v/>
      </c>
      <c r="C262" s="27" t="str">
        <v/>
      </c>
      <c r="D262" s="27" t="str">
        <v/>
      </c>
    </row>
    <row r="263" spans="2:4" x14ac:dyDescent="0.25">
      <c r="B263" s="27" t="str">
        <v/>
      </c>
      <c r="C263" s="27" t="str">
        <v/>
      </c>
      <c r="D263" s="27" t="str">
        <v/>
      </c>
    </row>
    <row r="264" spans="2:4" x14ac:dyDescent="0.25">
      <c r="B264" s="27" t="str">
        <v/>
      </c>
      <c r="C264" s="27" t="str">
        <v/>
      </c>
      <c r="D264" s="27" t="str">
        <v/>
      </c>
    </row>
    <row r="265" spans="2:4" x14ac:dyDescent="0.25">
      <c r="B265" s="27" t="str">
        <v/>
      </c>
      <c r="C265" s="27" t="str">
        <v/>
      </c>
      <c r="D265" s="27" t="str">
        <v/>
      </c>
    </row>
    <row r="266" spans="2:4" x14ac:dyDescent="0.25">
      <c r="B266" s="27" t="str">
        <v/>
      </c>
      <c r="C266" s="27" t="str">
        <v/>
      </c>
      <c r="D266" s="27" t="str">
        <v/>
      </c>
    </row>
    <row r="267" spans="2:4" x14ac:dyDescent="0.25">
      <c r="B267" s="27" t="str">
        <v/>
      </c>
      <c r="C267" s="27" t="str">
        <v/>
      </c>
      <c r="D267" s="27" t="str">
        <v/>
      </c>
    </row>
    <row r="268" spans="2:4" x14ac:dyDescent="0.25">
      <c r="B268" s="27" t="str">
        <v/>
      </c>
      <c r="C268" s="27" t="str">
        <v/>
      </c>
      <c r="D268" s="27" t="str">
        <v/>
      </c>
    </row>
    <row r="269" spans="2:4" x14ac:dyDescent="0.25">
      <c r="B269" s="27" t="str">
        <v/>
      </c>
      <c r="C269" s="27" t="str">
        <v/>
      </c>
      <c r="D269" s="27" t="str">
        <v/>
      </c>
    </row>
    <row r="270" spans="2:4" x14ac:dyDescent="0.25">
      <c r="B270" s="27" t="str">
        <v/>
      </c>
      <c r="C270" s="27" t="str">
        <v/>
      </c>
      <c r="D270" s="27" t="str">
        <v/>
      </c>
    </row>
    <row r="271" spans="2:4" x14ac:dyDescent="0.25">
      <c r="B271" s="27" t="str">
        <v/>
      </c>
      <c r="C271" s="27" t="str">
        <v/>
      </c>
      <c r="D271" s="27" t="str">
        <v/>
      </c>
    </row>
    <row r="272" spans="2:4" x14ac:dyDescent="0.25">
      <c r="B272" s="27" t="str">
        <v/>
      </c>
      <c r="C272" s="27" t="str">
        <v/>
      </c>
      <c r="D272" s="27" t="str">
        <v/>
      </c>
    </row>
    <row r="273" spans="2:4" x14ac:dyDescent="0.25">
      <c r="B273" s="27" t="str">
        <v/>
      </c>
      <c r="C273" s="27" t="str">
        <v/>
      </c>
      <c r="D273" s="27" t="str">
        <v/>
      </c>
    </row>
    <row r="274" spans="2:4" x14ac:dyDescent="0.25">
      <c r="B274" s="27" t="str">
        <v/>
      </c>
      <c r="C274" s="27" t="str">
        <v/>
      </c>
      <c r="D274" s="27" t="str">
        <v/>
      </c>
    </row>
    <row r="275" spans="2:4" x14ac:dyDescent="0.25">
      <c r="B275" s="27" t="str">
        <v/>
      </c>
      <c r="C275" s="27" t="str">
        <v/>
      </c>
      <c r="D275" s="27" t="str">
        <v/>
      </c>
    </row>
    <row r="276" spans="2:4" x14ac:dyDescent="0.25">
      <c r="B276" s="27" t="str">
        <v/>
      </c>
      <c r="C276" s="27" t="str">
        <v/>
      </c>
      <c r="D276" s="27" t="str">
        <v/>
      </c>
    </row>
    <row r="277" spans="2:4" x14ac:dyDescent="0.25">
      <c r="B277" s="27" t="str">
        <v/>
      </c>
      <c r="C277" s="27" t="str">
        <v/>
      </c>
      <c r="D277" s="27" t="str">
        <v/>
      </c>
    </row>
    <row r="278" spans="2:4" x14ac:dyDescent="0.25">
      <c r="B278" s="27" t="str">
        <v/>
      </c>
      <c r="C278" s="27" t="str">
        <v/>
      </c>
      <c r="D278" s="27" t="str">
        <v/>
      </c>
    </row>
    <row r="279" spans="2:4" x14ac:dyDescent="0.25">
      <c r="B279" s="27" t="str">
        <v/>
      </c>
      <c r="C279" s="27" t="str">
        <v/>
      </c>
      <c r="D279" s="27" t="str">
        <v/>
      </c>
    </row>
    <row r="280" spans="2:4" x14ac:dyDescent="0.25">
      <c r="B280" s="27" t="str">
        <v/>
      </c>
      <c r="C280" s="27" t="str">
        <v/>
      </c>
      <c r="D280" s="27" t="str">
        <v/>
      </c>
    </row>
    <row r="281" spans="2:4" x14ac:dyDescent="0.25">
      <c r="B281" s="27" t="str">
        <v/>
      </c>
      <c r="C281" s="27" t="str">
        <v/>
      </c>
      <c r="D281" s="27" t="str">
        <v/>
      </c>
    </row>
    <row r="282" spans="2:4" x14ac:dyDescent="0.25">
      <c r="B282" s="27" t="str">
        <v/>
      </c>
      <c r="C282" s="27" t="str">
        <v/>
      </c>
      <c r="D282" s="27" t="str">
        <v/>
      </c>
    </row>
    <row r="283" spans="2:4" x14ac:dyDescent="0.25">
      <c r="B283" s="27" t="str">
        <v/>
      </c>
      <c r="C283" s="27" t="str">
        <v/>
      </c>
      <c r="D283" s="27" t="str">
        <v/>
      </c>
    </row>
    <row r="284" spans="2:4" x14ac:dyDescent="0.25">
      <c r="B284" s="27" t="str">
        <v/>
      </c>
      <c r="C284" s="27" t="str">
        <v/>
      </c>
      <c r="D284" s="27" t="str">
        <v/>
      </c>
    </row>
    <row r="285" spans="2:4" x14ac:dyDescent="0.25">
      <c r="B285" s="27" t="str">
        <v/>
      </c>
      <c r="C285" s="27" t="str">
        <v/>
      </c>
      <c r="D285" s="27" t="str">
        <v/>
      </c>
    </row>
    <row r="286" spans="2:4" x14ac:dyDescent="0.25">
      <c r="B286" s="27" t="str">
        <v/>
      </c>
      <c r="C286" s="27" t="str">
        <v/>
      </c>
      <c r="D286" s="27" t="str">
        <v/>
      </c>
    </row>
    <row r="287" spans="2:4" x14ac:dyDescent="0.25">
      <c r="B287" s="27" t="str">
        <v/>
      </c>
      <c r="C287" s="27" t="str">
        <v/>
      </c>
      <c r="D287" s="27" t="str">
        <v/>
      </c>
    </row>
    <row r="288" spans="2:4" x14ac:dyDescent="0.25">
      <c r="B288" s="27" t="str">
        <v/>
      </c>
      <c r="C288" s="27" t="str">
        <v/>
      </c>
      <c r="D288" s="27" t="str">
        <v/>
      </c>
    </row>
    <row r="289" spans="2:4" x14ac:dyDescent="0.25">
      <c r="B289" s="27" t="str">
        <v/>
      </c>
      <c r="C289" s="27" t="str">
        <v/>
      </c>
      <c r="D289" s="27" t="str">
        <v/>
      </c>
    </row>
    <row r="290" spans="2:4" x14ac:dyDescent="0.25">
      <c r="B290" s="27" t="str">
        <v/>
      </c>
      <c r="C290" s="27" t="str">
        <v/>
      </c>
      <c r="D290" s="27" t="str">
        <v/>
      </c>
    </row>
    <row r="291" spans="2:4" x14ac:dyDescent="0.25">
      <c r="B291" s="27" t="str">
        <v/>
      </c>
      <c r="C291" s="27" t="str">
        <v/>
      </c>
      <c r="D291" s="27" t="str">
        <v/>
      </c>
    </row>
    <row r="292" spans="2:4" x14ac:dyDescent="0.25">
      <c r="B292" s="27" t="str">
        <v/>
      </c>
      <c r="C292" s="27" t="str">
        <v/>
      </c>
      <c r="D292" s="27" t="str">
        <v/>
      </c>
    </row>
    <row r="293" spans="2:4" x14ac:dyDescent="0.25">
      <c r="B293" s="27" t="str">
        <v/>
      </c>
      <c r="C293" s="27" t="str">
        <v/>
      </c>
      <c r="D293" s="27" t="str">
        <v/>
      </c>
    </row>
    <row r="294" spans="2:4" x14ac:dyDescent="0.25">
      <c r="B294" s="27" t="str">
        <v/>
      </c>
      <c r="C294" s="27" t="str">
        <v/>
      </c>
      <c r="D294" s="27" t="str">
        <v/>
      </c>
    </row>
    <row r="295" spans="2:4" x14ac:dyDescent="0.25">
      <c r="B295" s="27" t="str">
        <v/>
      </c>
      <c r="C295" s="27" t="str">
        <v/>
      </c>
      <c r="D295" s="27" t="str">
        <v/>
      </c>
    </row>
    <row r="296" spans="2:4" x14ac:dyDescent="0.25">
      <c r="B296" s="27" t="str">
        <v/>
      </c>
      <c r="C296" s="27" t="str">
        <v/>
      </c>
      <c r="D296" s="27" t="str">
        <v/>
      </c>
    </row>
    <row r="297" spans="2:4" x14ac:dyDescent="0.25">
      <c r="B297" s="27" t="str">
        <v/>
      </c>
      <c r="C297" s="27" t="str">
        <v/>
      </c>
      <c r="D297" s="27" t="str">
        <v/>
      </c>
    </row>
    <row r="298" spans="2:4" x14ac:dyDescent="0.25">
      <c r="B298" s="27" t="str">
        <v/>
      </c>
      <c r="C298" s="27" t="str">
        <v/>
      </c>
      <c r="D298" s="27" t="str">
        <v/>
      </c>
    </row>
    <row r="299" spans="2:4" x14ac:dyDescent="0.25">
      <c r="B299" s="27" t="str">
        <v/>
      </c>
      <c r="C299" s="27" t="str">
        <v/>
      </c>
      <c r="D299" s="27" t="str">
        <v/>
      </c>
    </row>
    <row r="300" spans="2:4" x14ac:dyDescent="0.25">
      <c r="B300" s="27" t="str">
        <v/>
      </c>
      <c r="C300" s="27" t="str">
        <v/>
      </c>
      <c r="D300" s="27" t="str">
        <v/>
      </c>
    </row>
    <row r="301" spans="2:4" x14ac:dyDescent="0.25">
      <c r="B301" s="27" t="str">
        <v/>
      </c>
      <c r="C301" s="27" t="str">
        <v/>
      </c>
      <c r="D301" s="27" t="str">
        <v/>
      </c>
    </row>
    <row r="302" spans="2:4" x14ac:dyDescent="0.25">
      <c r="B302" s="27" t="str">
        <v/>
      </c>
      <c r="C302" s="27" t="str">
        <v/>
      </c>
      <c r="D302" s="27" t="str">
        <v/>
      </c>
    </row>
    <row r="303" spans="2:4" x14ac:dyDescent="0.25">
      <c r="B303" s="27" t="str">
        <v/>
      </c>
      <c r="C303" s="27" t="str">
        <v/>
      </c>
      <c r="D303" s="27" t="str">
        <v/>
      </c>
    </row>
    <row r="304" spans="2:4" x14ac:dyDescent="0.25">
      <c r="B304" s="27" t="str">
        <v/>
      </c>
      <c r="C304" s="27" t="str">
        <v/>
      </c>
      <c r="D304" s="27" t="str">
        <v/>
      </c>
    </row>
    <row r="305" spans="2:4" x14ac:dyDescent="0.25">
      <c r="B305" s="27" t="str">
        <v/>
      </c>
      <c r="C305" s="27" t="str">
        <v/>
      </c>
      <c r="D305" s="27" t="str">
        <v/>
      </c>
    </row>
    <row r="306" spans="2:4" x14ac:dyDescent="0.25">
      <c r="B306" s="27" t="str">
        <v/>
      </c>
      <c r="C306" s="27" t="str">
        <v/>
      </c>
      <c r="D306" s="27" t="str">
        <v/>
      </c>
    </row>
    <row r="307" spans="2:4" x14ac:dyDescent="0.25">
      <c r="B307" s="27" t="str">
        <v/>
      </c>
      <c r="C307" s="27" t="str">
        <v/>
      </c>
      <c r="D307" s="27" t="str">
        <v/>
      </c>
    </row>
    <row r="308" spans="2:4" x14ac:dyDescent="0.25">
      <c r="B308" s="27" t="str">
        <v/>
      </c>
      <c r="C308" s="27" t="str">
        <v/>
      </c>
      <c r="D308" s="27" t="str">
        <v/>
      </c>
    </row>
    <row r="309" spans="2:4" x14ac:dyDescent="0.25">
      <c r="B309" s="27" t="str">
        <v/>
      </c>
      <c r="C309" s="27" t="str">
        <v/>
      </c>
      <c r="D309" s="27" t="str">
        <v/>
      </c>
    </row>
    <row r="310" spans="2:4" x14ac:dyDescent="0.25">
      <c r="B310" s="27" t="str">
        <v/>
      </c>
      <c r="C310" s="27" t="str">
        <v/>
      </c>
      <c r="D310" s="27" t="str">
        <v/>
      </c>
    </row>
    <row r="311" spans="2:4" x14ac:dyDescent="0.25">
      <c r="B311" s="27" t="str">
        <v/>
      </c>
      <c r="C311" s="27" t="str">
        <v/>
      </c>
      <c r="D311" s="27" t="str">
        <v/>
      </c>
    </row>
    <row r="312" spans="2:4" x14ac:dyDescent="0.25">
      <c r="B312" s="27" t="str">
        <v/>
      </c>
      <c r="C312" s="27" t="str">
        <v/>
      </c>
      <c r="D312" s="27" t="str">
        <v/>
      </c>
    </row>
    <row r="313" spans="2:4" x14ac:dyDescent="0.25">
      <c r="B313" s="27" t="str">
        <v/>
      </c>
      <c r="C313" s="27" t="str">
        <v/>
      </c>
      <c r="D313" s="27" t="str">
        <v/>
      </c>
    </row>
    <row r="314" spans="2:4" x14ac:dyDescent="0.25">
      <c r="B314" s="27" t="str">
        <v/>
      </c>
      <c r="C314" s="27" t="str">
        <v/>
      </c>
      <c r="D314" s="27" t="str">
        <v/>
      </c>
    </row>
    <row r="315" spans="2:4" x14ac:dyDescent="0.25">
      <c r="B315" s="27" t="str">
        <v/>
      </c>
      <c r="C315" s="27" t="str">
        <v/>
      </c>
      <c r="D315" s="27" t="str">
        <v/>
      </c>
    </row>
    <row r="316" spans="2:4" x14ac:dyDescent="0.25">
      <c r="B316" s="27" t="str">
        <v/>
      </c>
      <c r="C316" s="27" t="str">
        <v/>
      </c>
      <c r="D316" s="27" t="str">
        <v/>
      </c>
    </row>
    <row r="317" spans="2:4" x14ac:dyDescent="0.25">
      <c r="B317" s="27" t="str">
        <v/>
      </c>
      <c r="C317" s="27" t="str">
        <v/>
      </c>
      <c r="D317" s="27" t="str">
        <v/>
      </c>
    </row>
    <row r="318" spans="2:4" x14ac:dyDescent="0.25">
      <c r="B318" s="27" t="str">
        <v/>
      </c>
      <c r="C318" s="27" t="str">
        <v/>
      </c>
      <c r="D318" s="27" t="str">
        <v/>
      </c>
    </row>
    <row r="319" spans="2:4" x14ac:dyDescent="0.25">
      <c r="B319" s="27" t="str">
        <v/>
      </c>
      <c r="C319" s="27" t="str">
        <v/>
      </c>
      <c r="D319" s="27" t="str">
        <v/>
      </c>
    </row>
    <row r="320" spans="2:4" x14ac:dyDescent="0.25">
      <c r="B320" s="27" t="str">
        <v/>
      </c>
      <c r="C320" s="27" t="str">
        <v/>
      </c>
      <c r="D320" s="27" t="str">
        <v/>
      </c>
    </row>
    <row r="321" spans="2:4" x14ac:dyDescent="0.25">
      <c r="B321" s="27" t="str">
        <v/>
      </c>
      <c r="C321" s="27" t="str">
        <v/>
      </c>
      <c r="D321" s="27" t="str">
        <v/>
      </c>
    </row>
    <row r="322" spans="2:4" x14ac:dyDescent="0.25">
      <c r="B322" s="27" t="str">
        <v/>
      </c>
      <c r="C322" s="27" t="str">
        <v/>
      </c>
      <c r="D322" s="27" t="str">
        <v/>
      </c>
    </row>
    <row r="323" spans="2:4" x14ac:dyDescent="0.25">
      <c r="B323" s="27" t="str">
        <v/>
      </c>
      <c r="C323" s="27" t="str">
        <v/>
      </c>
      <c r="D323" s="27" t="str">
        <v/>
      </c>
    </row>
    <row r="324" spans="2:4" x14ac:dyDescent="0.25">
      <c r="B324" s="27" t="str">
        <v/>
      </c>
      <c r="C324" s="27" t="str">
        <v/>
      </c>
      <c r="D324" s="27" t="str">
        <v/>
      </c>
    </row>
    <row r="325" spans="2:4" x14ac:dyDescent="0.25">
      <c r="B325" s="27" t="str">
        <v/>
      </c>
      <c r="C325" s="27" t="str">
        <v/>
      </c>
      <c r="D325" s="27" t="str">
        <v/>
      </c>
    </row>
    <row r="326" spans="2:4" x14ac:dyDescent="0.25">
      <c r="B326" s="27" t="str">
        <v/>
      </c>
      <c r="C326" s="27" t="str">
        <v/>
      </c>
      <c r="D326" s="27" t="str">
        <v/>
      </c>
    </row>
    <row r="327" spans="2:4" x14ac:dyDescent="0.25">
      <c r="B327" s="27" t="str">
        <v/>
      </c>
      <c r="C327" s="27" t="str">
        <v/>
      </c>
      <c r="D327" s="27" t="str">
        <v/>
      </c>
    </row>
    <row r="328" spans="2:4" x14ac:dyDescent="0.25">
      <c r="B328" s="27" t="str">
        <v/>
      </c>
      <c r="C328" s="27" t="str">
        <v/>
      </c>
      <c r="D328" s="27" t="str">
        <v/>
      </c>
    </row>
    <row r="329" spans="2:4" x14ac:dyDescent="0.25">
      <c r="B329" s="27" t="str">
        <v/>
      </c>
      <c r="C329" s="27" t="str">
        <v/>
      </c>
      <c r="D329" s="27" t="str">
        <v/>
      </c>
    </row>
    <row r="330" spans="2:4" x14ac:dyDescent="0.25">
      <c r="B330" s="27" t="str">
        <v/>
      </c>
      <c r="C330" s="27" t="str">
        <v/>
      </c>
      <c r="D330" s="27" t="str">
        <v/>
      </c>
    </row>
    <row r="331" spans="2:4" x14ac:dyDescent="0.25">
      <c r="B331" s="27" t="str">
        <v/>
      </c>
      <c r="C331" s="27" t="str">
        <v/>
      </c>
      <c r="D331" s="27" t="str">
        <v/>
      </c>
    </row>
    <row r="332" spans="2:4" x14ac:dyDescent="0.25">
      <c r="B332" s="27" t="str">
        <v/>
      </c>
      <c r="C332" s="27" t="str">
        <v/>
      </c>
      <c r="D332" s="27" t="str">
        <v/>
      </c>
    </row>
    <row r="333" spans="2:4" x14ac:dyDescent="0.25">
      <c r="B333" s="27" t="str">
        <v/>
      </c>
      <c r="C333" s="27" t="str">
        <v/>
      </c>
      <c r="D333" s="27" t="str">
        <v/>
      </c>
    </row>
    <row r="334" spans="2:4" x14ac:dyDescent="0.25">
      <c r="B334" s="27" t="str">
        <v/>
      </c>
      <c r="C334" s="27" t="str">
        <v/>
      </c>
      <c r="D334" s="27" t="str">
        <v/>
      </c>
    </row>
    <row r="335" spans="2:4" x14ac:dyDescent="0.25">
      <c r="B335" s="27" t="str">
        <v/>
      </c>
      <c r="C335" s="27" t="str">
        <v/>
      </c>
      <c r="D335" s="27" t="str">
        <v/>
      </c>
    </row>
    <row r="336" spans="2:4" x14ac:dyDescent="0.25">
      <c r="B336" s="27" t="str">
        <v/>
      </c>
      <c r="C336" s="27" t="str">
        <v/>
      </c>
      <c r="D336" s="27" t="str">
        <v/>
      </c>
    </row>
    <row r="337" spans="2:4" x14ac:dyDescent="0.25">
      <c r="B337" s="27" t="str">
        <v/>
      </c>
      <c r="C337" s="27" t="str">
        <v/>
      </c>
      <c r="D337" s="27" t="str">
        <v/>
      </c>
    </row>
    <row r="338" spans="2:4" x14ac:dyDescent="0.25">
      <c r="B338" s="27" t="str">
        <v/>
      </c>
      <c r="C338" s="27" t="str">
        <v/>
      </c>
      <c r="D338" s="27" t="str">
        <v/>
      </c>
    </row>
    <row r="339" spans="2:4" x14ac:dyDescent="0.25">
      <c r="B339" s="27" t="str">
        <v/>
      </c>
      <c r="C339" s="27" t="str">
        <v/>
      </c>
      <c r="D339" s="27" t="str">
        <v/>
      </c>
    </row>
    <row r="340" spans="2:4" x14ac:dyDescent="0.25">
      <c r="B340" s="27" t="str">
        <v/>
      </c>
      <c r="C340" s="27" t="str">
        <v/>
      </c>
      <c r="D340" s="27" t="str">
        <v/>
      </c>
    </row>
    <row r="341" spans="2:4" x14ac:dyDescent="0.25">
      <c r="B341" s="27" t="str">
        <v/>
      </c>
      <c r="C341" s="27" t="str">
        <v/>
      </c>
      <c r="D341" s="27" t="str">
        <v/>
      </c>
    </row>
    <row r="342" spans="2:4" x14ac:dyDescent="0.25">
      <c r="B342" s="27" t="str">
        <v/>
      </c>
      <c r="C342" s="27" t="str">
        <v/>
      </c>
      <c r="D342" s="27" t="str">
        <v/>
      </c>
    </row>
    <row r="343" spans="2:4" x14ac:dyDescent="0.25">
      <c r="B343" s="27" t="str">
        <v/>
      </c>
      <c r="C343" s="27" t="str">
        <v/>
      </c>
      <c r="D343" s="27" t="str">
        <v/>
      </c>
    </row>
    <row r="344" spans="2:4" x14ac:dyDescent="0.25">
      <c r="B344" s="27" t="str">
        <v/>
      </c>
      <c r="C344" s="27" t="str">
        <v/>
      </c>
      <c r="D344" s="27" t="str">
        <v/>
      </c>
    </row>
    <row r="345" spans="2:4" x14ac:dyDescent="0.25">
      <c r="B345" s="27" t="str">
        <v/>
      </c>
      <c r="C345" s="27" t="str">
        <v/>
      </c>
      <c r="D345" s="27" t="str">
        <v/>
      </c>
    </row>
    <row r="346" spans="2:4" x14ac:dyDescent="0.25">
      <c r="B346" s="27" t="str">
        <v/>
      </c>
      <c r="C346" s="27" t="str">
        <v/>
      </c>
      <c r="D346" s="27" t="str">
        <v/>
      </c>
    </row>
    <row r="347" spans="2:4" x14ac:dyDescent="0.25">
      <c r="B347" s="27" t="str">
        <v/>
      </c>
      <c r="C347" s="27" t="str">
        <v/>
      </c>
      <c r="D347" s="27" t="str">
        <v/>
      </c>
    </row>
    <row r="348" spans="2:4" x14ac:dyDescent="0.25">
      <c r="B348" s="27" t="str">
        <v/>
      </c>
      <c r="C348" s="27" t="str">
        <v/>
      </c>
      <c r="D348" s="27" t="str">
        <v/>
      </c>
    </row>
    <row r="349" spans="2:4" x14ac:dyDescent="0.25">
      <c r="B349" s="27" t="str">
        <v/>
      </c>
      <c r="C349" s="27" t="str">
        <v/>
      </c>
      <c r="D349" s="27" t="str">
        <v/>
      </c>
    </row>
    <row r="350" spans="2:4" x14ac:dyDescent="0.25">
      <c r="B350" s="27" t="str">
        <v/>
      </c>
      <c r="C350" s="27" t="str">
        <v/>
      </c>
      <c r="D350" s="27" t="str">
        <v/>
      </c>
    </row>
    <row r="351" spans="2:4" x14ac:dyDescent="0.25">
      <c r="B351" s="27" t="str">
        <v/>
      </c>
      <c r="C351" s="27" t="str">
        <v/>
      </c>
      <c r="D351" s="27" t="str">
        <v/>
      </c>
    </row>
    <row r="352" spans="2:4" x14ac:dyDescent="0.25">
      <c r="B352" s="27" t="str">
        <v/>
      </c>
      <c r="C352" s="27" t="str">
        <v/>
      </c>
      <c r="D352" s="27" t="str">
        <v/>
      </c>
    </row>
    <row r="353" spans="2:4" x14ac:dyDescent="0.25">
      <c r="B353" s="27" t="str">
        <v/>
      </c>
      <c r="C353" s="27" t="str">
        <v/>
      </c>
      <c r="D353" s="27" t="str">
        <v/>
      </c>
    </row>
    <row r="354" spans="2:4" x14ac:dyDescent="0.25">
      <c r="B354" s="27" t="str">
        <v/>
      </c>
      <c r="C354" s="27" t="str">
        <v/>
      </c>
      <c r="D354" s="27" t="str">
        <v/>
      </c>
    </row>
    <row r="355" spans="2:4" x14ac:dyDescent="0.25">
      <c r="B355" s="27" t="str">
        <v/>
      </c>
      <c r="C355" s="27" t="str">
        <v/>
      </c>
      <c r="D355" s="27" t="str">
        <v/>
      </c>
    </row>
    <row r="356" spans="2:4" x14ac:dyDescent="0.25">
      <c r="B356" s="27" t="str">
        <v/>
      </c>
      <c r="C356" s="27" t="str">
        <v/>
      </c>
      <c r="D356" s="27" t="str">
        <v/>
      </c>
    </row>
    <row r="357" spans="2:4" x14ac:dyDescent="0.25">
      <c r="B357" s="27" t="str">
        <v/>
      </c>
      <c r="C357" s="27" t="str">
        <v/>
      </c>
      <c r="D357" s="27" t="str">
        <v/>
      </c>
    </row>
    <row r="358" spans="2:4" x14ac:dyDescent="0.25">
      <c r="B358" s="27" t="str">
        <v/>
      </c>
      <c r="C358" s="27" t="str">
        <v/>
      </c>
      <c r="D358" s="27" t="str">
        <v/>
      </c>
    </row>
    <row r="359" spans="2:4" x14ac:dyDescent="0.25">
      <c r="B359" s="27" t="str">
        <v/>
      </c>
      <c r="C359" s="27" t="str">
        <v/>
      </c>
      <c r="D359" s="27" t="str">
        <v/>
      </c>
    </row>
    <row r="360" spans="2:4" x14ac:dyDescent="0.25">
      <c r="B360" s="27" t="str">
        <v/>
      </c>
      <c r="C360" s="27" t="str">
        <v/>
      </c>
      <c r="D360" s="27" t="str">
        <v/>
      </c>
    </row>
    <row r="361" spans="2:4" x14ac:dyDescent="0.25">
      <c r="B361" s="27" t="str">
        <v/>
      </c>
      <c r="C361" s="27" t="str">
        <v/>
      </c>
      <c r="D361" s="27" t="str">
        <v/>
      </c>
    </row>
    <row r="362" spans="2:4" x14ac:dyDescent="0.25">
      <c r="B362" s="27" t="str">
        <v/>
      </c>
      <c r="C362" s="27" t="str">
        <v/>
      </c>
      <c r="D362" s="27" t="str">
        <v/>
      </c>
    </row>
    <row r="363" spans="2:4" x14ac:dyDescent="0.25">
      <c r="B363" s="27" t="str">
        <v/>
      </c>
      <c r="C363" s="27" t="str">
        <v/>
      </c>
      <c r="D363" s="27" t="str">
        <v/>
      </c>
    </row>
    <row r="364" spans="2:4" x14ac:dyDescent="0.25">
      <c r="B364" s="27" t="str">
        <v/>
      </c>
      <c r="C364" s="27" t="str">
        <v/>
      </c>
      <c r="D364" s="27" t="str">
        <v/>
      </c>
    </row>
    <row r="365" spans="2:4" x14ac:dyDescent="0.25">
      <c r="B365" s="27" t="str">
        <v/>
      </c>
      <c r="C365" s="27" t="str">
        <v/>
      </c>
      <c r="D365" s="27" t="str">
        <v/>
      </c>
    </row>
    <row r="366" spans="2:4" x14ac:dyDescent="0.25">
      <c r="B366" s="27" t="str">
        <v/>
      </c>
      <c r="C366" s="27" t="str">
        <v/>
      </c>
      <c r="D366" s="27" t="str">
        <v/>
      </c>
    </row>
    <row r="367" spans="2:4" x14ac:dyDescent="0.25">
      <c r="B367" s="27" t="str">
        <v/>
      </c>
      <c r="C367" s="27" t="str">
        <v/>
      </c>
      <c r="D367" s="27" t="str">
        <v/>
      </c>
    </row>
    <row r="368" spans="2:4" x14ac:dyDescent="0.25">
      <c r="B368" s="27" t="str">
        <v/>
      </c>
      <c r="C368" s="27" t="str">
        <v/>
      </c>
      <c r="D368" s="27" t="str">
        <v/>
      </c>
    </row>
    <row r="369" spans="2:4" x14ac:dyDescent="0.25">
      <c r="B369" s="27" t="str">
        <v/>
      </c>
      <c r="C369" s="27" t="str">
        <v/>
      </c>
      <c r="D369" s="27" t="str">
        <v/>
      </c>
    </row>
    <row r="370" spans="2:4" x14ac:dyDescent="0.25">
      <c r="B370" s="27" t="str">
        <v/>
      </c>
      <c r="C370" s="27" t="str">
        <v/>
      </c>
      <c r="D370" s="27" t="str">
        <v/>
      </c>
    </row>
    <row r="371" spans="2:4" x14ac:dyDescent="0.25">
      <c r="B371" s="27" t="str">
        <v/>
      </c>
      <c r="C371" s="27" t="str">
        <v/>
      </c>
      <c r="D371" s="27" t="str">
        <v/>
      </c>
    </row>
    <row r="372" spans="2:4" x14ac:dyDescent="0.25">
      <c r="B372" s="27" t="str">
        <v/>
      </c>
      <c r="C372" s="27" t="str">
        <v/>
      </c>
      <c r="D372" s="27" t="str">
        <v/>
      </c>
    </row>
    <row r="373" spans="2:4" x14ac:dyDescent="0.25">
      <c r="B373" s="27" t="str">
        <v/>
      </c>
      <c r="C373" s="27" t="str">
        <v/>
      </c>
      <c r="D373" s="27" t="str">
        <v/>
      </c>
    </row>
    <row r="374" spans="2:4" x14ac:dyDescent="0.25">
      <c r="B374" s="27" t="str">
        <v/>
      </c>
      <c r="C374" s="27" t="str">
        <v/>
      </c>
      <c r="D374" s="27" t="str">
        <v/>
      </c>
    </row>
    <row r="375" spans="2:4" x14ac:dyDescent="0.25">
      <c r="B375" s="27" t="str">
        <v/>
      </c>
      <c r="C375" s="27" t="str">
        <v/>
      </c>
      <c r="D375" s="27" t="str">
        <v/>
      </c>
    </row>
    <row r="376" spans="2:4" x14ac:dyDescent="0.25">
      <c r="B376" s="27" t="str">
        <v/>
      </c>
      <c r="C376" s="27" t="str">
        <v/>
      </c>
      <c r="D376" s="27" t="str">
        <v/>
      </c>
    </row>
    <row r="377" spans="2:4" x14ac:dyDescent="0.25">
      <c r="B377" s="27" t="str">
        <v/>
      </c>
      <c r="C377" s="27" t="str">
        <v/>
      </c>
      <c r="D377" s="27" t="str">
        <v/>
      </c>
    </row>
    <row r="378" spans="2:4" x14ac:dyDescent="0.25">
      <c r="B378" s="27" t="str">
        <v/>
      </c>
      <c r="C378" s="27" t="str">
        <v/>
      </c>
      <c r="D378" s="27" t="str">
        <v/>
      </c>
    </row>
    <row r="379" spans="2:4" x14ac:dyDescent="0.25">
      <c r="B379" s="27" t="str">
        <v/>
      </c>
      <c r="C379" s="27" t="str">
        <v/>
      </c>
      <c r="D379" s="27" t="str">
        <v/>
      </c>
    </row>
    <row r="380" spans="2:4" x14ac:dyDescent="0.25">
      <c r="B380" s="27" t="str">
        <v/>
      </c>
      <c r="C380" s="27" t="str">
        <v/>
      </c>
      <c r="D380" s="27" t="str">
        <v/>
      </c>
    </row>
    <row r="381" spans="2:4" x14ac:dyDescent="0.25">
      <c r="B381" s="27" t="str">
        <v/>
      </c>
      <c r="C381" s="27" t="str">
        <v/>
      </c>
      <c r="D381" s="27" t="str">
        <v/>
      </c>
    </row>
    <row r="382" spans="2:4" x14ac:dyDescent="0.25">
      <c r="B382" s="27" t="str">
        <v/>
      </c>
      <c r="C382" s="27" t="str">
        <v/>
      </c>
      <c r="D382" s="27" t="str">
        <v/>
      </c>
    </row>
    <row r="383" spans="2:4" x14ac:dyDescent="0.25">
      <c r="B383" s="27" t="str">
        <v/>
      </c>
      <c r="C383" s="27" t="str">
        <v/>
      </c>
      <c r="D383" s="27" t="str">
        <v/>
      </c>
    </row>
    <row r="384" spans="2:4" x14ac:dyDescent="0.25">
      <c r="B384" s="27" t="str">
        <v/>
      </c>
      <c r="C384" s="27" t="str">
        <v/>
      </c>
      <c r="D384" s="27" t="str">
        <v/>
      </c>
    </row>
    <row r="385" spans="2:4" x14ac:dyDescent="0.25">
      <c r="B385" s="27" t="str">
        <v/>
      </c>
      <c r="C385" s="27" t="str">
        <v/>
      </c>
      <c r="D385" s="27" t="str">
        <v/>
      </c>
    </row>
    <row r="386" spans="2:4" x14ac:dyDescent="0.25">
      <c r="B386" s="27" t="str">
        <v/>
      </c>
      <c r="C386" s="27" t="str">
        <v/>
      </c>
      <c r="D386" s="27" t="str">
        <v/>
      </c>
    </row>
    <row r="387" spans="2:4" x14ac:dyDescent="0.25">
      <c r="B387" s="27" t="str">
        <v/>
      </c>
      <c r="C387" s="27" t="str">
        <v/>
      </c>
      <c r="D387" s="27" t="str">
        <v/>
      </c>
    </row>
    <row r="388" spans="2:4" x14ac:dyDescent="0.25">
      <c r="B388" s="27" t="str">
        <v/>
      </c>
      <c r="C388" s="27" t="str">
        <v/>
      </c>
      <c r="D388" s="27" t="str">
        <v/>
      </c>
    </row>
    <row r="389" spans="2:4" x14ac:dyDescent="0.25">
      <c r="B389" s="27" t="str">
        <v/>
      </c>
      <c r="C389" s="27" t="str">
        <v/>
      </c>
      <c r="D389" s="27" t="str">
        <v/>
      </c>
    </row>
    <row r="390" spans="2:4" x14ac:dyDescent="0.25">
      <c r="B390" s="27" t="str">
        <v/>
      </c>
      <c r="C390" s="27" t="str">
        <v/>
      </c>
      <c r="D390" s="27" t="str">
        <v/>
      </c>
    </row>
    <row r="391" spans="2:4" x14ac:dyDescent="0.25">
      <c r="B391" s="27" t="str">
        <v/>
      </c>
      <c r="C391" s="27" t="str">
        <v/>
      </c>
      <c r="D391" s="27" t="str">
        <v/>
      </c>
    </row>
    <row r="392" spans="2:4" x14ac:dyDescent="0.25">
      <c r="B392" s="27" t="str">
        <v/>
      </c>
      <c r="C392" s="27" t="str">
        <v/>
      </c>
      <c r="D392" s="27" t="str">
        <v/>
      </c>
    </row>
    <row r="393" spans="2:4" x14ac:dyDescent="0.25">
      <c r="B393" s="27" t="str">
        <v/>
      </c>
      <c r="C393" s="27" t="str">
        <v/>
      </c>
      <c r="D393" s="27" t="str">
        <v/>
      </c>
    </row>
    <row r="394" spans="2:4" x14ac:dyDescent="0.25">
      <c r="B394" s="27" t="str">
        <v/>
      </c>
      <c r="C394" s="27" t="str">
        <v/>
      </c>
      <c r="D394" s="27" t="str">
        <v/>
      </c>
    </row>
    <row r="395" spans="2:4" x14ac:dyDescent="0.25">
      <c r="B395" s="27" t="str">
        <v/>
      </c>
      <c r="C395" s="27" t="str">
        <v/>
      </c>
      <c r="D395" s="27" t="str">
        <v/>
      </c>
    </row>
    <row r="396" spans="2:4" x14ac:dyDescent="0.25">
      <c r="B396" s="27" t="str">
        <v/>
      </c>
      <c r="C396" s="27" t="str">
        <v/>
      </c>
      <c r="D396" s="27" t="str">
        <v/>
      </c>
    </row>
    <row r="397" spans="2:4" x14ac:dyDescent="0.25">
      <c r="B397" s="27" t="str">
        <v/>
      </c>
      <c r="C397" s="27" t="str">
        <v/>
      </c>
      <c r="D397" s="27" t="str">
        <v/>
      </c>
    </row>
    <row r="398" spans="2:4" x14ac:dyDescent="0.25">
      <c r="B398" s="27" t="str">
        <v/>
      </c>
      <c r="C398" s="27" t="str">
        <v/>
      </c>
      <c r="D398" s="27" t="str">
        <v/>
      </c>
    </row>
    <row r="399" spans="2:4" x14ac:dyDescent="0.25">
      <c r="B399" s="27" t="str">
        <v/>
      </c>
      <c r="C399" s="27" t="str">
        <v/>
      </c>
      <c r="D399" s="27" t="str">
        <v/>
      </c>
    </row>
    <row r="400" spans="2:4" x14ac:dyDescent="0.25">
      <c r="B400" s="27" t="str">
        <v/>
      </c>
      <c r="C400" s="27" t="str">
        <v/>
      </c>
      <c r="D400" s="27" t="str">
        <v/>
      </c>
    </row>
    <row r="401" spans="2:4" x14ac:dyDescent="0.25">
      <c r="B401" s="27" t="str">
        <v/>
      </c>
      <c r="C401" s="27" t="str">
        <v/>
      </c>
      <c r="D401" s="27" t="str">
        <v/>
      </c>
    </row>
    <row r="402" spans="2:4" x14ac:dyDescent="0.25">
      <c r="B402" s="27" t="str">
        <v/>
      </c>
      <c r="C402" s="27" t="str">
        <v/>
      </c>
      <c r="D402" s="27" t="str">
        <v/>
      </c>
    </row>
    <row r="403" spans="2:4" x14ac:dyDescent="0.25">
      <c r="B403" s="27" t="str">
        <v/>
      </c>
      <c r="C403" s="27" t="str">
        <v/>
      </c>
      <c r="D403" s="27" t="str">
        <v/>
      </c>
    </row>
    <row r="404" spans="2:4" x14ac:dyDescent="0.25">
      <c r="B404" s="27" t="str">
        <v/>
      </c>
      <c r="C404" s="27" t="str">
        <v/>
      </c>
      <c r="D404" s="27" t="str">
        <v/>
      </c>
    </row>
    <row r="405" spans="2:4" x14ac:dyDescent="0.25">
      <c r="B405" s="27" t="str">
        <v/>
      </c>
      <c r="C405" s="27" t="str">
        <v/>
      </c>
      <c r="D405" s="27" t="str">
        <v/>
      </c>
    </row>
    <row r="406" spans="2:4" x14ac:dyDescent="0.25">
      <c r="B406" s="27" t="str">
        <v/>
      </c>
      <c r="C406" s="27" t="str">
        <v/>
      </c>
      <c r="D406" s="27" t="str">
        <v/>
      </c>
    </row>
    <row r="407" spans="2:4" x14ac:dyDescent="0.25">
      <c r="B407" s="27" t="str">
        <v/>
      </c>
      <c r="C407" s="27" t="str">
        <v/>
      </c>
      <c r="D407" s="27" t="str">
        <v/>
      </c>
    </row>
    <row r="408" spans="2:4" x14ac:dyDescent="0.25">
      <c r="B408" s="27" t="str">
        <v/>
      </c>
      <c r="C408" s="27" t="str">
        <v/>
      </c>
      <c r="D408" s="27" t="str">
        <v/>
      </c>
    </row>
    <row r="409" spans="2:4" x14ac:dyDescent="0.25">
      <c r="B409" s="27" t="str">
        <v/>
      </c>
      <c r="C409" s="27" t="str">
        <v/>
      </c>
      <c r="D409" s="27" t="str">
        <v/>
      </c>
    </row>
    <row r="410" spans="2:4" x14ac:dyDescent="0.25">
      <c r="B410" s="27" t="str">
        <v/>
      </c>
      <c r="C410" s="27" t="str">
        <v/>
      </c>
      <c r="D410" s="27" t="str">
        <v/>
      </c>
    </row>
    <row r="411" spans="2:4" x14ac:dyDescent="0.25">
      <c r="B411" s="27" t="str">
        <v/>
      </c>
      <c r="C411" s="27" t="str">
        <v/>
      </c>
      <c r="D411" s="27" t="str">
        <v/>
      </c>
    </row>
    <row r="412" spans="2:4" x14ac:dyDescent="0.25">
      <c r="B412" s="27" t="str">
        <v/>
      </c>
      <c r="C412" s="27" t="str">
        <v/>
      </c>
      <c r="D412" s="27" t="str">
        <v/>
      </c>
    </row>
    <row r="413" spans="2:4" x14ac:dyDescent="0.25">
      <c r="B413" s="27" t="str">
        <v/>
      </c>
      <c r="C413" s="27" t="str">
        <v/>
      </c>
      <c r="D413" s="27" t="str">
        <v/>
      </c>
    </row>
    <row r="414" spans="2:4" x14ac:dyDescent="0.25">
      <c r="B414" s="27" t="str">
        <v/>
      </c>
      <c r="C414" s="27" t="str">
        <v/>
      </c>
      <c r="D414" s="27" t="str">
        <v/>
      </c>
    </row>
    <row r="415" spans="2:4" x14ac:dyDescent="0.25">
      <c r="B415" s="27" t="str">
        <v/>
      </c>
      <c r="C415" s="27" t="str">
        <v/>
      </c>
      <c r="D415" s="27" t="str">
        <v/>
      </c>
    </row>
    <row r="416" spans="2:4" x14ac:dyDescent="0.25">
      <c r="B416" s="27" t="str">
        <v/>
      </c>
      <c r="C416" s="27" t="str">
        <v/>
      </c>
      <c r="D416" s="27" t="str">
        <v/>
      </c>
    </row>
    <row r="417" spans="2:4" x14ac:dyDescent="0.25">
      <c r="B417" s="27" t="str">
        <v/>
      </c>
      <c r="C417" s="27" t="str">
        <v/>
      </c>
      <c r="D417" s="27" t="str">
        <v/>
      </c>
    </row>
    <row r="418" spans="2:4" x14ac:dyDescent="0.25">
      <c r="B418" s="27" t="str">
        <v/>
      </c>
      <c r="C418" s="27" t="str">
        <v/>
      </c>
      <c r="D418" s="27" t="str">
        <v/>
      </c>
    </row>
    <row r="419" spans="2:4" x14ac:dyDescent="0.25">
      <c r="B419" s="27" t="str">
        <v/>
      </c>
      <c r="C419" s="27" t="str">
        <v/>
      </c>
      <c r="D419" s="27" t="str">
        <v/>
      </c>
    </row>
    <row r="420" spans="2:4" x14ac:dyDescent="0.25">
      <c r="B420" s="27" t="str">
        <v/>
      </c>
      <c r="C420" s="27" t="str">
        <v/>
      </c>
      <c r="D420" s="27" t="str">
        <v/>
      </c>
    </row>
    <row r="421" spans="2:4" x14ac:dyDescent="0.25">
      <c r="B421" s="27" t="str">
        <v/>
      </c>
      <c r="C421" s="27" t="str">
        <v/>
      </c>
      <c r="D421" s="27" t="str">
        <v/>
      </c>
    </row>
    <row r="422" spans="2:4" x14ac:dyDescent="0.25">
      <c r="B422" s="27" t="str">
        <v/>
      </c>
      <c r="C422" s="27" t="str">
        <v/>
      </c>
      <c r="D422" s="27" t="str">
        <v/>
      </c>
    </row>
    <row r="423" spans="2:4" x14ac:dyDescent="0.25">
      <c r="B423" s="27" t="str">
        <v/>
      </c>
      <c r="C423" s="27" t="str">
        <v/>
      </c>
      <c r="D423" s="27" t="str">
        <v/>
      </c>
    </row>
    <row r="424" spans="2:4" x14ac:dyDescent="0.25">
      <c r="B424" s="27" t="str">
        <v/>
      </c>
      <c r="C424" s="27" t="str">
        <v/>
      </c>
      <c r="D424" s="27" t="str">
        <v/>
      </c>
    </row>
    <row r="425" spans="2:4" x14ac:dyDescent="0.25">
      <c r="B425" s="27" t="str">
        <v/>
      </c>
      <c r="C425" s="27" t="str">
        <v/>
      </c>
      <c r="D425" s="27" t="str">
        <v/>
      </c>
    </row>
    <row r="426" spans="2:4" x14ac:dyDescent="0.25">
      <c r="B426" s="27" t="str">
        <v/>
      </c>
      <c r="C426" s="27" t="str">
        <v/>
      </c>
      <c r="D426" s="27" t="str">
        <v/>
      </c>
    </row>
    <row r="427" spans="2:4" x14ac:dyDescent="0.25">
      <c r="B427" s="27" t="str">
        <v/>
      </c>
      <c r="C427" s="27" t="str">
        <v/>
      </c>
      <c r="D427" s="27" t="str">
        <v/>
      </c>
    </row>
    <row r="428" spans="2:4" x14ac:dyDescent="0.25">
      <c r="B428" s="27" t="str">
        <v/>
      </c>
      <c r="C428" s="27" t="str">
        <v/>
      </c>
      <c r="D428" s="27" t="str">
        <v/>
      </c>
    </row>
    <row r="429" spans="2:4" x14ac:dyDescent="0.25">
      <c r="B429" s="27" t="str">
        <v/>
      </c>
      <c r="C429" s="27" t="str">
        <v/>
      </c>
      <c r="D429" s="27" t="str">
        <v/>
      </c>
    </row>
    <row r="430" spans="2:4" x14ac:dyDescent="0.25">
      <c r="B430" s="27" t="str">
        <v/>
      </c>
      <c r="C430" s="27" t="str">
        <v/>
      </c>
      <c r="D430" s="27" t="str">
        <v/>
      </c>
    </row>
    <row r="431" spans="2:4" x14ac:dyDescent="0.25">
      <c r="B431" s="27" t="str">
        <v/>
      </c>
      <c r="C431" s="27" t="str">
        <v/>
      </c>
      <c r="D431" s="27" t="str">
        <v/>
      </c>
    </row>
    <row r="432" spans="2:4" x14ac:dyDescent="0.25">
      <c r="B432" s="27" t="str">
        <v/>
      </c>
      <c r="C432" s="27" t="str">
        <v/>
      </c>
      <c r="D432" s="27" t="str">
        <v/>
      </c>
    </row>
    <row r="433" spans="2:4" x14ac:dyDescent="0.25">
      <c r="B433" s="27" t="str">
        <v/>
      </c>
      <c r="C433" s="27" t="str">
        <v/>
      </c>
      <c r="D433" s="27" t="str">
        <v/>
      </c>
    </row>
    <row r="434" spans="2:4" x14ac:dyDescent="0.25">
      <c r="B434" s="27" t="str">
        <v/>
      </c>
      <c r="C434" s="27" t="str">
        <v/>
      </c>
      <c r="D434" s="27" t="str">
        <v/>
      </c>
    </row>
    <row r="435" spans="2:4" x14ac:dyDescent="0.25">
      <c r="B435" s="27" t="str">
        <v/>
      </c>
      <c r="C435" s="27" t="str">
        <v/>
      </c>
      <c r="D435" s="27" t="str">
        <v/>
      </c>
    </row>
    <row r="436" spans="2:4" x14ac:dyDescent="0.25">
      <c r="B436" s="27" t="str">
        <v/>
      </c>
      <c r="C436" s="27" t="str">
        <v/>
      </c>
      <c r="D436" s="27" t="str">
        <v/>
      </c>
    </row>
    <row r="437" spans="2:4" x14ac:dyDescent="0.25">
      <c r="B437" s="27" t="str">
        <v/>
      </c>
      <c r="C437" s="27" t="str">
        <v/>
      </c>
      <c r="D437" s="27" t="str">
        <v/>
      </c>
    </row>
    <row r="438" spans="2:4" x14ac:dyDescent="0.25">
      <c r="B438" s="27" t="str">
        <v/>
      </c>
      <c r="C438" s="27" t="str">
        <v/>
      </c>
      <c r="D438" s="27" t="str">
        <v/>
      </c>
    </row>
    <row r="439" spans="2:4" x14ac:dyDescent="0.25">
      <c r="B439" s="27" t="str">
        <v/>
      </c>
      <c r="C439" s="27" t="str">
        <v/>
      </c>
      <c r="D439" s="27" t="str">
        <v/>
      </c>
    </row>
    <row r="440" spans="2:4" x14ac:dyDescent="0.25">
      <c r="B440" s="27" t="str">
        <v/>
      </c>
      <c r="C440" s="27" t="str">
        <v/>
      </c>
      <c r="D440" s="27" t="str">
        <v/>
      </c>
    </row>
    <row r="441" spans="2:4" x14ac:dyDescent="0.25">
      <c r="B441" s="27" t="str">
        <v/>
      </c>
      <c r="C441" s="27" t="str">
        <v/>
      </c>
      <c r="D441" s="27" t="str">
        <v/>
      </c>
    </row>
    <row r="442" spans="2:4" x14ac:dyDescent="0.25">
      <c r="B442" s="27" t="str">
        <v/>
      </c>
      <c r="C442" s="27" t="str">
        <v/>
      </c>
      <c r="D442" s="27" t="str">
        <v/>
      </c>
    </row>
    <row r="443" spans="2:4" x14ac:dyDescent="0.25">
      <c r="B443" s="27" t="str">
        <v/>
      </c>
      <c r="C443" s="27" t="str">
        <v/>
      </c>
      <c r="D443" s="27" t="str">
        <v/>
      </c>
    </row>
    <row r="444" spans="2:4" x14ac:dyDescent="0.25">
      <c r="B444" s="27" t="str">
        <v/>
      </c>
      <c r="C444" s="27" t="str">
        <v/>
      </c>
      <c r="D444" s="27" t="str">
        <v/>
      </c>
    </row>
    <row r="445" spans="2:4" x14ac:dyDescent="0.25">
      <c r="B445" s="27" t="str">
        <v/>
      </c>
      <c r="C445" s="27" t="str">
        <v/>
      </c>
      <c r="D445" s="27" t="str">
        <v/>
      </c>
    </row>
    <row r="446" spans="2:4" x14ac:dyDescent="0.25">
      <c r="B446" s="27" t="str">
        <v/>
      </c>
      <c r="C446" s="27" t="str">
        <v/>
      </c>
      <c r="D446" s="27" t="str">
        <v/>
      </c>
    </row>
    <row r="447" spans="2:4" x14ac:dyDescent="0.25">
      <c r="B447" s="27" t="str">
        <v/>
      </c>
      <c r="C447" s="27" t="str">
        <v/>
      </c>
      <c r="D447" s="27" t="str">
        <v/>
      </c>
    </row>
    <row r="448" spans="2:4" x14ac:dyDescent="0.25">
      <c r="B448" s="27" t="str">
        <v/>
      </c>
      <c r="C448" s="27" t="str">
        <v/>
      </c>
      <c r="D448" s="27" t="str">
        <v/>
      </c>
    </row>
    <row r="449" spans="2:4" x14ac:dyDescent="0.25">
      <c r="B449" s="27" t="str">
        <v/>
      </c>
      <c r="C449" s="27" t="str">
        <v/>
      </c>
      <c r="D449" s="27" t="str">
        <v/>
      </c>
    </row>
    <row r="450" spans="2:4" x14ac:dyDescent="0.25">
      <c r="B450" s="27" t="str">
        <v/>
      </c>
      <c r="C450" s="27" t="str">
        <v/>
      </c>
      <c r="D450" s="27" t="str">
        <v/>
      </c>
    </row>
    <row r="451" spans="2:4" x14ac:dyDescent="0.25">
      <c r="B451" s="27" t="str">
        <v/>
      </c>
      <c r="C451" s="27" t="str">
        <v/>
      </c>
      <c r="D451" s="27" t="str">
        <v/>
      </c>
    </row>
    <row r="452" spans="2:4" x14ac:dyDescent="0.25">
      <c r="B452" s="27" t="str">
        <v/>
      </c>
      <c r="C452" s="27" t="str">
        <v/>
      </c>
      <c r="D452" s="27" t="str">
        <v/>
      </c>
    </row>
    <row r="453" spans="2:4" x14ac:dyDescent="0.25">
      <c r="B453" s="27" t="str">
        <v/>
      </c>
      <c r="C453" s="27" t="str">
        <v/>
      </c>
      <c r="D453" s="27" t="str">
        <v/>
      </c>
    </row>
    <row r="454" spans="2:4" x14ac:dyDescent="0.25">
      <c r="B454" s="27" t="str">
        <v/>
      </c>
      <c r="C454" s="27" t="str">
        <v/>
      </c>
      <c r="D454" s="27" t="str">
        <v/>
      </c>
    </row>
    <row r="455" spans="2:4" x14ac:dyDescent="0.25">
      <c r="B455" s="27" t="str">
        <v/>
      </c>
      <c r="C455" s="27" t="str">
        <v/>
      </c>
      <c r="D455" s="27" t="str">
        <v/>
      </c>
    </row>
    <row r="456" spans="2:4" x14ac:dyDescent="0.25">
      <c r="B456" s="27" t="str">
        <v/>
      </c>
      <c r="C456" s="27" t="str">
        <v/>
      </c>
      <c r="D456" s="27" t="str">
        <v/>
      </c>
    </row>
    <row r="457" spans="2:4" x14ac:dyDescent="0.25">
      <c r="B457" s="27" t="str">
        <v/>
      </c>
      <c r="C457" s="27" t="str">
        <v/>
      </c>
      <c r="D457" s="27" t="str">
        <v/>
      </c>
    </row>
    <row r="458" spans="2:4" x14ac:dyDescent="0.25">
      <c r="B458" s="27" t="str">
        <v/>
      </c>
      <c r="C458" s="27" t="str">
        <v/>
      </c>
      <c r="D458" s="27" t="str">
        <v/>
      </c>
    </row>
    <row r="459" spans="2:4" x14ac:dyDescent="0.25">
      <c r="B459" s="27" t="str">
        <v/>
      </c>
      <c r="C459" s="27" t="str">
        <v/>
      </c>
      <c r="D459" s="27" t="str">
        <v/>
      </c>
    </row>
    <row r="460" spans="2:4" x14ac:dyDescent="0.25">
      <c r="B460" s="27" t="str">
        <v/>
      </c>
      <c r="C460" s="27" t="str">
        <v/>
      </c>
      <c r="D460" s="27" t="str">
        <v/>
      </c>
    </row>
    <row r="461" spans="2:4" x14ac:dyDescent="0.25">
      <c r="B461" s="27" t="str">
        <v/>
      </c>
      <c r="C461" s="27" t="str">
        <v/>
      </c>
      <c r="D461" s="27" t="str">
        <v/>
      </c>
    </row>
    <row r="462" spans="2:4" x14ac:dyDescent="0.25">
      <c r="B462" s="27" t="str">
        <v/>
      </c>
      <c r="C462" s="27" t="str">
        <v/>
      </c>
      <c r="D462" s="27" t="str">
        <v/>
      </c>
    </row>
    <row r="463" spans="2:4" x14ac:dyDescent="0.25">
      <c r="B463" s="27" t="str">
        <v/>
      </c>
      <c r="C463" s="27" t="str">
        <v/>
      </c>
      <c r="D463" s="27" t="str">
        <v/>
      </c>
    </row>
    <row r="464" spans="2:4" x14ac:dyDescent="0.25">
      <c r="B464" s="27" t="str">
        <v/>
      </c>
      <c r="C464" s="27" t="str">
        <v/>
      </c>
      <c r="D464" s="27" t="str">
        <v/>
      </c>
    </row>
    <row r="465" spans="2:4" x14ac:dyDescent="0.25">
      <c r="B465" s="27" t="str">
        <v/>
      </c>
      <c r="C465" s="27" t="str">
        <v/>
      </c>
      <c r="D465" s="27" t="str">
        <v/>
      </c>
    </row>
    <row r="466" spans="2:4" x14ac:dyDescent="0.25">
      <c r="B466" s="27" t="str">
        <v/>
      </c>
      <c r="C466" s="27" t="str">
        <v/>
      </c>
      <c r="D466" s="27" t="str">
        <v/>
      </c>
    </row>
    <row r="467" spans="2:4" x14ac:dyDescent="0.25">
      <c r="B467" s="27" t="str">
        <v/>
      </c>
      <c r="C467" s="27" t="str">
        <v/>
      </c>
      <c r="D467" s="27" t="str">
        <v/>
      </c>
    </row>
    <row r="468" spans="2:4" x14ac:dyDescent="0.25">
      <c r="B468" s="27" t="str">
        <v/>
      </c>
      <c r="C468" s="27" t="str">
        <v/>
      </c>
      <c r="D468" s="27" t="str">
        <v/>
      </c>
    </row>
    <row r="469" spans="2:4" x14ac:dyDescent="0.25">
      <c r="B469" s="27" t="str">
        <v/>
      </c>
      <c r="C469" s="27" t="str">
        <v/>
      </c>
      <c r="D469" s="27" t="str">
        <v/>
      </c>
    </row>
    <row r="470" spans="2:4" x14ac:dyDescent="0.25">
      <c r="B470" s="27" t="str">
        <v/>
      </c>
      <c r="C470" s="27" t="str">
        <v/>
      </c>
      <c r="D470" s="27" t="str">
        <v/>
      </c>
    </row>
    <row r="471" spans="2:4" x14ac:dyDescent="0.25">
      <c r="B471" s="27" t="str">
        <v/>
      </c>
      <c r="C471" s="27" t="str">
        <v/>
      </c>
      <c r="D471" s="27" t="str">
        <v/>
      </c>
    </row>
    <row r="472" spans="2:4" x14ac:dyDescent="0.25">
      <c r="B472" s="27" t="str">
        <v/>
      </c>
      <c r="C472" s="27" t="str">
        <v/>
      </c>
      <c r="D472" s="27" t="str">
        <v/>
      </c>
    </row>
    <row r="473" spans="2:4" x14ac:dyDescent="0.25">
      <c r="B473" s="27" t="str">
        <v/>
      </c>
      <c r="C473" s="27" t="str">
        <v/>
      </c>
      <c r="D473" s="27" t="str">
        <v/>
      </c>
    </row>
    <row r="474" spans="2:4" x14ac:dyDescent="0.25">
      <c r="B474" s="27" t="str">
        <v/>
      </c>
      <c r="C474" s="27" t="str">
        <v/>
      </c>
      <c r="D474" s="27" t="str">
        <v/>
      </c>
    </row>
    <row r="475" spans="2:4" x14ac:dyDescent="0.25">
      <c r="B475" s="27" t="str">
        <v/>
      </c>
      <c r="C475" s="27" t="str">
        <v/>
      </c>
      <c r="D475" s="27" t="str">
        <v/>
      </c>
    </row>
    <row r="476" spans="2:4" x14ac:dyDescent="0.25">
      <c r="B476" s="27" t="str">
        <v/>
      </c>
      <c r="C476" s="27" t="str">
        <v/>
      </c>
      <c r="D476" s="27" t="str">
        <v/>
      </c>
    </row>
    <row r="477" spans="2:4" x14ac:dyDescent="0.25">
      <c r="B477" s="27" t="str">
        <v/>
      </c>
      <c r="C477" s="27" t="str">
        <v/>
      </c>
      <c r="D477" s="27" t="str">
        <v/>
      </c>
    </row>
    <row r="478" spans="2:4" x14ac:dyDescent="0.25">
      <c r="B478" s="27" t="str">
        <v/>
      </c>
      <c r="C478" s="27" t="str">
        <v/>
      </c>
      <c r="D478" s="27" t="str">
        <v/>
      </c>
    </row>
    <row r="479" spans="2:4" x14ac:dyDescent="0.25">
      <c r="B479" s="27" t="str">
        <v/>
      </c>
      <c r="C479" s="27" t="str">
        <v/>
      </c>
      <c r="D479" s="27" t="str">
        <v/>
      </c>
    </row>
    <row r="480" spans="2:4" x14ac:dyDescent="0.25">
      <c r="B480" s="27" t="str">
        <v/>
      </c>
      <c r="C480" s="27" t="str">
        <v/>
      </c>
      <c r="D480" s="27" t="str">
        <v/>
      </c>
    </row>
    <row r="481" spans="2:4" x14ac:dyDescent="0.25">
      <c r="B481" s="27" t="str">
        <v/>
      </c>
      <c r="C481" s="27" t="str">
        <v/>
      </c>
      <c r="D481" s="27" t="str">
        <v/>
      </c>
    </row>
    <row r="482" spans="2:4" x14ac:dyDescent="0.25">
      <c r="B482" s="27" t="str">
        <v/>
      </c>
      <c r="C482" s="27" t="str">
        <v/>
      </c>
      <c r="D482" s="27" t="str">
        <v/>
      </c>
    </row>
    <row r="483" spans="2:4" x14ac:dyDescent="0.25">
      <c r="B483" s="27" t="str">
        <v/>
      </c>
      <c r="C483" s="27" t="str">
        <v/>
      </c>
      <c r="D483" s="27" t="str">
        <v/>
      </c>
    </row>
    <row r="484" spans="2:4" x14ac:dyDescent="0.25">
      <c r="B484" s="27" t="str">
        <v/>
      </c>
      <c r="C484" s="27" t="str">
        <v/>
      </c>
      <c r="D484" s="27" t="str">
        <v/>
      </c>
    </row>
    <row r="485" spans="2:4" x14ac:dyDescent="0.25">
      <c r="B485" s="27" t="str">
        <v/>
      </c>
      <c r="C485" s="27" t="str">
        <v/>
      </c>
      <c r="D485" s="27" t="str">
        <v/>
      </c>
    </row>
    <row r="486" spans="2:4" x14ac:dyDescent="0.25">
      <c r="B486" s="27" t="str">
        <v/>
      </c>
      <c r="C486" s="27" t="str">
        <v/>
      </c>
      <c r="D486" s="27" t="str">
        <v/>
      </c>
    </row>
    <row r="487" spans="2:4" x14ac:dyDescent="0.25">
      <c r="B487" s="27" t="str">
        <v/>
      </c>
      <c r="C487" s="27" t="str">
        <v/>
      </c>
      <c r="D487" s="27" t="str">
        <v/>
      </c>
    </row>
    <row r="488" spans="2:4" x14ac:dyDescent="0.25">
      <c r="B488" s="27" t="str">
        <v/>
      </c>
      <c r="C488" s="27" t="str">
        <v/>
      </c>
      <c r="D488" s="27" t="str">
        <v/>
      </c>
    </row>
    <row r="489" spans="2:4" x14ac:dyDescent="0.25">
      <c r="B489" s="27" t="str">
        <v/>
      </c>
      <c r="C489" s="27" t="str">
        <v/>
      </c>
      <c r="D489" s="27" t="str">
        <v/>
      </c>
    </row>
    <row r="490" spans="2:4" x14ac:dyDescent="0.25">
      <c r="B490" s="27" t="str">
        <v/>
      </c>
      <c r="C490" s="27" t="str">
        <v/>
      </c>
      <c r="D490" s="27" t="str">
        <v/>
      </c>
    </row>
    <row r="491" spans="2:4" x14ac:dyDescent="0.25">
      <c r="B491" s="27" t="str">
        <v/>
      </c>
      <c r="C491" s="27" t="str">
        <v/>
      </c>
      <c r="D491" s="27" t="str">
        <v/>
      </c>
    </row>
    <row r="492" spans="2:4" x14ac:dyDescent="0.25">
      <c r="B492" s="27" t="str">
        <v/>
      </c>
      <c r="C492" s="27" t="str">
        <v/>
      </c>
      <c r="D492" s="27" t="str">
        <v/>
      </c>
    </row>
    <row r="493" spans="2:4" x14ac:dyDescent="0.25">
      <c r="B493" s="27" t="str">
        <v/>
      </c>
      <c r="C493" s="27" t="str">
        <v/>
      </c>
      <c r="D493" s="27" t="str">
        <v/>
      </c>
    </row>
    <row r="494" spans="2:4" x14ac:dyDescent="0.25">
      <c r="B494" s="27" t="str">
        <v/>
      </c>
      <c r="C494" s="27" t="str">
        <v/>
      </c>
      <c r="D494" s="27" t="str">
        <v/>
      </c>
    </row>
    <row r="495" spans="2:4" x14ac:dyDescent="0.25">
      <c r="B495" s="27" t="str">
        <v/>
      </c>
      <c r="C495" s="27" t="str">
        <v/>
      </c>
      <c r="D495" s="27" t="str">
        <v/>
      </c>
    </row>
    <row r="496" spans="2:4" x14ac:dyDescent="0.25">
      <c r="B496" s="27" t="str">
        <v/>
      </c>
      <c r="C496" s="27" t="str">
        <v/>
      </c>
      <c r="D496" s="27" t="str">
        <v/>
      </c>
    </row>
    <row r="497" spans="2:4" x14ac:dyDescent="0.25">
      <c r="B497" s="27" t="str">
        <v/>
      </c>
      <c r="C497" s="27" t="str">
        <v/>
      </c>
      <c r="D497" s="27" t="str">
        <v/>
      </c>
    </row>
    <row r="498" spans="2:4" x14ac:dyDescent="0.25">
      <c r="B498" s="27" t="str">
        <v/>
      </c>
      <c r="C498" s="27" t="str">
        <v/>
      </c>
      <c r="D498" s="27" t="str">
        <v/>
      </c>
    </row>
    <row r="499" spans="2:4" x14ac:dyDescent="0.25">
      <c r="B499" s="27" t="str">
        <v/>
      </c>
      <c r="C499" s="27" t="str">
        <v/>
      </c>
      <c r="D499" s="27" t="str">
        <v/>
      </c>
    </row>
    <row r="500" spans="2:4" x14ac:dyDescent="0.25">
      <c r="B500" s="27" t="str">
        <v/>
      </c>
      <c r="C500" s="27" t="str">
        <v/>
      </c>
      <c r="D500" s="27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316DE8-9762-4DB3-A33A-55D6A3B83B8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READ ME</vt:lpstr>
      <vt:lpstr>Statement Editor</vt:lpstr>
      <vt:lpstr>PDF Parser Output</vt:lpstr>
      <vt:lpstr>Output</vt:lpstr>
      <vt:lpstr>DB</vt:lpstr>
      <vt:lpstr>Duplicate logic</vt:lpstr>
      <vt:lpstr>DatabaseName</vt:lpstr>
      <vt:lpstr>DockerHost</vt:lpstr>
      <vt:lpstr>DockerPort</vt:lpstr>
      <vt:lpstr>PDFPath</vt:lpstr>
      <vt:lpstr>PERIOD_END_BALANCE</vt:lpstr>
      <vt:lpstr>PERIOD_END_DATE</vt:lpstr>
      <vt:lpstr>PERIOD_START_BALANCE</vt:lpstr>
      <vt:lpstr>PERIOD_START_DATE</vt:lpstr>
      <vt:lpstr>SELECTED_ACCOUNT</vt:lpstr>
      <vt:lpstr>STATEMENT_DATE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Harris</dc:creator>
  <cp:lastModifiedBy>Noah Harris</cp:lastModifiedBy>
  <dcterms:created xsi:type="dcterms:W3CDTF">2026-02-25T12:57:27Z</dcterms:created>
  <dcterms:modified xsi:type="dcterms:W3CDTF">2026-04-30T14:13:01Z</dcterms:modified>
</cp:coreProperties>
</file>