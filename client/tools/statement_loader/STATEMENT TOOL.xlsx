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positories\ledgr\client\tools\statement_loader\"/>
    </mc:Choice>
  </mc:AlternateContent>
  <xr:revisionPtr revIDLastSave="0" documentId="13_ncr:1_{4D0695EA-6FF9-40AF-97EB-55F162F14797}" xr6:coauthVersionLast="47" xr6:coauthVersionMax="47" xr10:uidLastSave="{00000000-0000-0000-0000-000000000000}"/>
  <bookViews>
    <workbookView xWindow="-38520" yWindow="-120" windowWidth="38640" windowHeight="21120" tabRatio="940" xr2:uid="{D207168A-B19E-4C66-BC46-1F21A6A1F713}"/>
  </bookViews>
  <sheets>
    <sheet name="READ ME" sheetId="9" r:id="rId1"/>
    <sheet name="Statement Editor" sheetId="1" r:id="rId2"/>
    <sheet name="PDF Parser Output" sheetId="5" r:id="rId3"/>
    <sheet name="Output" sheetId="11" state="hidden" r:id="rId4"/>
    <sheet name="DB" sheetId="3" state="hidden" r:id="rId5"/>
    <sheet name="Duplicate logic" sheetId="8" state="hidden" r:id="rId6"/>
  </sheets>
  <definedNames>
    <definedName name="ACCOUNT_DROPDOWN">_xlfn.ANCHORARRAY(DB!$O$2)</definedName>
    <definedName name="DatabaseName" comment="The name of the main database">'READ ME'!$B$11</definedName>
    <definedName name="DockerHost" comment="The host for the docker server">'READ ME'!$B$9</definedName>
    <definedName name="DockerPort" comment="The extenal port of the docker container">'READ ME'!$B$10</definedName>
    <definedName name="ExternalData_1" localSheetId="4" hidden="1">DB!$A$1:$B$14</definedName>
    <definedName name="ExternalData_1" localSheetId="3" hidden="1">Output!$A$1:$R$2</definedName>
    <definedName name="ExternalData_1" localSheetId="1" hidden="1">'Statement Editor'!$K$5:$P$6</definedName>
    <definedName name="ExternalData_2" localSheetId="4" hidden="1">DB!$D$1:$G$48</definedName>
    <definedName name="ExternalData_2" localSheetId="2" hidden="1">'PDF Parser Output'!$A$1:$C$2</definedName>
    <definedName name="ExternalData_2" localSheetId="1" hidden="1">'Statement Editor'!$K$8:$S$9</definedName>
    <definedName name="ExternalData_3" localSheetId="4" hidden="1">DB!$J$1:$K$496</definedName>
    <definedName name="ExternalData_4" localSheetId="4" hidden="1">DB!$R$1:$W$174</definedName>
    <definedName name="METHOD_DROPDOWN">_xlfn.ANCHORARRAY(DB!$N$2)</definedName>
    <definedName name="PAYEE_DROPDOWN">_xlfn.ANCHORARRAY(DB!$P$2)</definedName>
    <definedName name="PDFPath">'Statement Editor'!$C$2</definedName>
    <definedName name="PERIOD_END_BALANCE">'Statement Editor'!$G$2</definedName>
    <definedName name="PERIOD_END_DATE">'Statement Editor'!$E$2</definedName>
    <definedName name="PERIOD_START_BALANCE">'Statement Editor'!$F$2</definedName>
    <definedName name="PERIOD_START_DATE">'Statement Editor'!$D$2</definedName>
    <definedName name="SELECTED_ACCOUNT">'Statement Editor'!$A$2</definedName>
    <definedName name="STATEMENT_DATE">'Statement Editor'!$B$2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 a="1"/>
  <c r="P2" i="3" a="1"/>
  <c r="D1" i="8" a="1"/>
  <c r="C1" i="8" a="1"/>
  <c r="B1" i="8" a="1"/>
  <c r="A501" i="1"/>
  <c r="B501" i="1"/>
  <c r="A502" i="1"/>
  <c r="B502" i="1"/>
  <c r="A503" i="1"/>
  <c r="B503" i="1"/>
  <c r="I2" i="1"/>
  <c r="H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4" i="1"/>
  <c r="B50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4" i="1"/>
  <c r="A505" i="1"/>
  <c r="N2" i="3" a="1"/>
  <c r="O2" i="3" a="1"/>
  <c r="K2" i="1" l="1"/>
  <c r="L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068AF-1112-44B4-99B9-C0EEEB419020}" keepAlive="1" name="Query - accounts" description="Connection to the 'accounts' query in the workbook." type="5" refreshedVersion="8" refreshOnLoad="1" saveData="1">
    <dbPr connection="Provider=Microsoft.Mashup.OleDb.1;Data Source=$Workbook$;Location=accounts;Extended Properties=&quot;&quot;" command="SELECT * FROM [accounts]"/>
  </connection>
  <connection id="2" xr16:uid="{EB310304-6AE5-49AE-BD18-9F88AEE93077}" keepAlive="1" name="Query - DatabaseName" description="Connection to the 'DatabaseName' query in the workbook." type="5" refreshedVersion="0" background="1">
    <dbPr connection="Provider=Microsoft.Mashup.OleDb.1;Data Source=$Workbook$;Location=DatabaseName;Extended Properties=&quot;&quot;" command="SELECT * FROM [DatabaseName]"/>
  </connection>
  <connection id="3" xr16:uid="{E4617922-2ADC-4865-B037-6BE347E57BCC}" keepAlive="1" name="Query - DockerHost" description="Connection to the 'DockerHost' query in the workbook." type="5" refreshedVersion="0" background="1">
    <dbPr connection="Provider=Microsoft.Mashup.OleDb.1;Data Source=$Workbook$;Location=DockerHost;Extended Properties=&quot;&quot;" command="SELECT * FROM [DockerHost]"/>
  </connection>
  <connection id="4" xr16:uid="{EC80BB97-BBE5-4B09-9856-EEC2ABFF9A20}" keepAlive="1" name="Query - fxAddYear" description="Connection to the 'fxAddYear' query in the workbook." type="5" refreshedVersion="0" background="1">
    <dbPr connection="Provider=Microsoft.Mashup.OleDb.1;Data Source=$Workbook$;Location=fxAddYear;Extended Properties=&quot;&quot;" command="SELECT * FROM [fxAddYear]"/>
  </connection>
  <connection id="5" xr16:uid="{64BD98C4-B75D-4C05-9FD7-F17AC9D2247B}" keepAlive="1" name="Query - fxExtractDateAfterOn" description="Connection to the 'fxExtractDateAfterOn' query in the workbook." type="5" refreshedVersion="0" background="1">
    <dbPr connection="Provider=Microsoft.Mashup.OleDb.1;Data Source=$Workbook$;Location=fxExtractDateAfterOn;Extended Properties=&quot;&quot;" command="SELECT * FROM [fxExtractDateAfterOn]"/>
  </connection>
  <connection id="6" xr16:uid="{73A49C01-8029-4D64-9100-3A3285597CD6}" keepAlive="1" name="Query - fxExtractRefNo" description="Connection to the 'fxExtractRefNo' query in the workbook." type="5" refreshedVersion="0" background="1">
    <dbPr connection="Provider=Microsoft.Mashup.OleDb.1;Data Source=$Workbook$;Location=fxExtractRefNo;Extended Properties=&quot;&quot;" command="SELECT * FROM [fxExtractRefNo]"/>
  </connection>
  <connection id="7" xr16:uid="{0B8D0743-5728-4CE1-9277-7D40E1BB9EA9}" keepAlive="1" name="Query - fxFlipSign" description="Connection to the 'fxFlipSign' query in the workbook." type="5" refreshedVersion="0" background="1">
    <dbPr connection="Provider=Microsoft.Mashup.OleDb.1;Data Source=$Workbook$;Location=fxFlipSign;Extended Properties=&quot;&quot;" command="SELECT * FROM [fxFlipSign]"/>
  </connection>
  <connection id="8" xr16:uid="{A94DC0D9-D203-42AB-BC9E-E9F2A65F0581}" keepAlive="1" name="Query - fxFormatSECUCredit" description="Connection to the 'fxFormatSECUCredit' query in the workbook." type="5" refreshedVersion="0" background="1">
    <dbPr connection="Provider=Microsoft.Mashup.OleDb.1;Data Source=$Workbook$;Location=fxFormatSECUCredit;Extended Properties=&quot;&quot;" command="SELECT * FROM [fxFormatSECUCredit]"/>
  </connection>
  <connection id="9" xr16:uid="{DAF21504-1D90-4BAB-9A62-333FF7E51DE1}" keepAlive="1" name="Query - fxFormatWhiteSpace" description="Connection to the 'fxFormatWhiteSpace' query in the workbook." type="5" refreshedVersion="0" background="1">
    <dbPr connection="Provider=Microsoft.Mashup.OleDb.1;Data Source=$Workbook$;Location=fxFormatWhiteSpace;Extended Properties=&quot;&quot;" command="SELECT * FROM [fxFormatWhiteSpace]"/>
  </connection>
  <connection id="10" xr16:uid="{E0ADC93B-1F7A-4E9A-A550-D1D08BF6BB8D}" keepAlive="1" name="Query - fxIsNull" description="Connection to the 'fxIsNull' query in the workbook." type="5" refreshedVersion="0" background="1">
    <dbPr connection="Provider=Microsoft.Mashup.OleDb.1;Data Source=$Workbook$;Location=fxIsNull;Extended Properties=&quot;&quot;" command="SELECT * FROM [fxIsNull]"/>
  </connection>
  <connection id="11" xr16:uid="{AB7499D8-D935-4807-998C-918B7C6F0B82}" keepAlive="1" name="Query - fxRemoveLineBreaks" description="Connection to the 'fxRemoveLineBreaks' query in the workbook." type="5" refreshedVersion="0" background="1">
    <dbPr connection="Provider=Microsoft.Mashup.OleDb.1;Data Source=$Workbook$;Location=fxRemoveLineBreaks;Extended Properties=&quot;&quot;" command="SELECT * FROM [fxRemoveLineBreaks]"/>
  </connection>
  <connection id="12" xr16:uid="{A5C747AD-62A8-46CC-8673-7EB8FC609376}" keepAlive="1" name="Query - fxSECUCheckingDateParse" description="Connection to the 'fxSECUCheckingDateParse' query in the workbook." type="5" refreshedVersion="0" background="1">
    <dbPr connection="Provider=Microsoft.Mashup.OleDb.1;Data Source=$Workbook$;Location=fxSECUCheckingDateParse;Extended Properties=&quot;&quot;" command="SELECT * FROM [fxSECUCheckingDateParse]"/>
  </connection>
  <connection id="13" xr16:uid="{1C503845-FBB2-40DE-B45F-88A87EBE7ABF}" keepAlive="1" name="Query - fxSECUSignFlip" description="Connection to the 'fxSECUSignFlip' query in the workbook." type="5" refreshedVersion="0" background="1">
    <dbPr connection="Provider=Microsoft.Mashup.OleDb.1;Data Source=$Workbook$;Location=fxSECUSignFlip;Extended Properties=&quot;&quot;" command="SELECT * FROM [fxSECUSignFlip]"/>
  </connection>
  <connection id="14" xr16:uid="{1A94DB21-1455-4829-8A16-19F389C08675}" keepAlive="1" name="Query - fxStringAgg" description="Connection to the 'fxStringAgg' query in the workbook." type="5" refreshedVersion="0" background="1">
    <dbPr connection="Provider=Microsoft.Mashup.OleDb.1;Data Source=$Workbook$;Location=fxStringAgg;Extended Properties=&quot;&quot;" command="SELECT * FROM [fxStringAgg]"/>
  </connection>
  <connection id="15" xr16:uid="{4D716A92-32E9-4890-A266-FC407F4A6719}" keepAlive="1" name="Query - fxStripNonAlphanumeric" description="Connection to the 'fxStripNonAlphanumeric' query in the workbook." type="5" refreshedVersion="0" background="1">
    <dbPr connection="Provider=Microsoft.Mashup.OleDb.1;Data Source=$Workbook$;Location=fxStripNonAlphanumeric;Extended Properties=&quot;&quot;" command="SELECT * FROM [fxStripNonAlphanumeric]"/>
  </connection>
  <connection id="16" xr16:uid="{541B3FC8-0A83-4F96-B7EE-E8B8517ADADC}" keepAlive="1" name="Query - methods" description="Connection to the 'methods' query in the workbook." type="5" refreshedVersion="8" refreshOnLoad="1" saveData="1">
    <dbPr connection="Provider=Microsoft.Mashup.OleDb.1;Data Source=$Workbook$;Location=methods;Extended Properties=&quot;&quot;" command="SELECT * FROM [methods]"/>
  </connection>
  <connection id="17" xr16:uid="{720FD5D0-5862-4DD0-9BF0-3369E6906FC1}" keepAlive="1" name="Query - payee" description="Connection to the 'payee' query in the workbook." type="5" refreshedVersion="8" refreshOnLoad="1" saveData="1">
    <dbPr connection="Provider=Microsoft.Mashup.OleDb.1;Data Source=$Workbook$;Location=payee;Extended Properties=&quot;&quot;" command="SELECT * FROM [payee]"/>
  </connection>
  <connection id="18" xr16:uid="{99CE3900-A6F9-4316-A2BD-41DE20BC31FD}" keepAlive="1" name="Query - PDF Data" description="Connection to the 'PDF Data' query in the workbook." type="5" refreshedVersion="8" refreshOnLoad="1" saveData="1">
    <dbPr connection="Provider=Microsoft.Mashup.OleDb.1;Data Source=$Workbook$;Location=&quot;PDF Data&quot;;Extended Properties=&quot;&quot;" command="SELECT * FROM [PDF Data]"/>
  </connection>
  <connection id="19" xr16:uid="{F3050F0E-E9B1-4632-A966-228D06CB457B}" keepAlive="1" name="Query - STATEMENT_ITEM_OUTPUT(1)" description="Connection to the 'STATEMENT_ITEM_OUTPUT' query in the workbook." type="5" refreshedVersion="8" background="1" saveData="1">
    <dbPr connection="Provider=Microsoft.Mashup.OleDb.1;Data Source=$Workbook$;Location=STATEMENT_ITEM_OUTPUT;Extended Properties=&quot;&quot;" command="SELECT * FROM [STATEMENT_ITEM_OUTPUT]"/>
  </connection>
  <connection id="20" xr16:uid="{2249D49F-A9FA-437B-A2E2-A7F4E39ED153}" keepAlive="1" name="Query - STATEMENT_ITEM_OUTPUT_VIEW" description="Connection to the 'STATEMENT_ITEM_OUTPUT_VIEW' query in the workbook." type="5" refreshedVersion="8" background="1" saveData="1">
    <dbPr connection="Provider=Microsoft.Mashup.OleDb.1;Data Source=$Workbook$;Location=STATEMENT_ITEM_OUTPUT_VIEW;Extended Properties=&quot;&quot;" command="SELECT * FROM [STATEMENT_ITEM_OUTPUT_VIEW]"/>
  </connection>
  <connection id="21" xr16:uid="{6683B07C-B138-42F7-9A94-AA191FE0305E}" keepAlive="1" name="Query - STATEMENT_OUTPUT" description="Connection to the 'STATEMENT_OUTPUT' query in the workbook." type="5" refreshedVersion="8" refreshOnLoad="1" saveData="1">
    <dbPr connection="Provider=Microsoft.Mashup.OleDb.1;Data Source=$Workbook$;Location=STATEMENT_OUTPUT;Extended Properties=&quot;&quot;" command="SELECT * FROM [STATEMENT_OUTPUT]"/>
  </connection>
  <connection id="22" xr16:uid="{4FE4409C-0B9B-489B-AC33-D344320FAEB7}" keepAlive="1" name="Query - STATEMENT_OUTPUT_VIEW" description="Connection to the 'STATEMENT_OUTPUT_VIEW' query in the workbook." type="5" refreshedVersion="8" background="1" saveData="1">
    <dbPr connection="Provider=Microsoft.Mashup.OleDb.1;Data Source=$Workbook$;Location=STATEMENT_OUTPUT_VIEW;Extended Properties=&quot;&quot;" command="SELECT * FROM [STATEMENT_OUTPUT_VIEW]"/>
  </connection>
  <connection id="23" xr16:uid="{EB35320E-5034-4069-96F5-6846B1EF3B5E}" keepAlive="1" name="Query - STATEMENT_STATEMENT_ITEM_OUTPUT" description="Connection to the 'STATEMENT_STATEMENT_ITEM_OUTPUT' query in the workbook." type="5" refreshedVersion="8" background="1" saveData="1">
    <dbPr connection="Provider=Microsoft.Mashup.OleDb.1;Data Source=$Workbook$;Location=STATEMENT_STATEMENT_ITEM_OUTPUT;Extended Properties=&quot;&quot;" command="SELECT * FROM [STATEMENT_STATEMENT_ITEM_OUTPUT]"/>
  </connection>
  <connection id="24" xr16:uid="{BEA820BE-D65E-4AEE-9752-0CA9CFE2F6FC}" keepAlive="1" name="Query - STATEMENT_STATEMENT_ITEM_OUTPUT1" description="Connection to the 'STATEMENT_STATEMENT_ITEM_OUTPUT' query in the workbook." type="5" refreshedVersion="0" background="1">
    <dbPr connection="Provider=Microsoft.Mashup.OleDb.1;Data Source=$Workbook$;Location=STATEMENT_STATEMENT_ITEM_OUTPUT;Extended Properties=&quot;&quot;" command="SELECT * FROM [STATEMENT_STATEMENT_ITEM_OUTPUT]"/>
  </connection>
  <connection id="25" xr16:uid="{4F76A7C9-4BFA-4481-ABA9-872BB0E3823D}" keepAlive="1" name="Query - Statements" description="Connection to the 'Statements' query in the workbook." type="5" refreshedVersion="8" background="1" refreshOnLoad="1" saveData="1">
    <dbPr connection="Provider=Microsoft.Mashup.OleDb.1;Data Source=$Workbook$;Location=Statements;Extended Properties=&quot;&quot;" command="SELECT * FROM [State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<sst xmlns="http://schemas.openxmlformats.org/spreadsheetml/2006/main" count="1469" uniqueCount="1122">
  <si>
    <t>ACCOUNT</t>
  </si>
  <si>
    <t>STATEMENT DATE</t>
  </si>
  <si>
    <t>ACCOUNT_DROPDOWN</t>
  </si>
  <si>
    <t>METHOD_DROPDOWN</t>
  </si>
  <si>
    <t>PAYEE_DROPDOWN</t>
  </si>
  <si>
    <t>TRANSACTION DATE</t>
  </si>
  <si>
    <t>POST DATE</t>
  </si>
  <si>
    <t>REFERENCE NUMBER</t>
  </si>
  <si>
    <t>DESCRIPTION</t>
  </si>
  <si>
    <t>AMOUNT</t>
  </si>
  <si>
    <t>PAYEE</t>
  </si>
  <si>
    <t>METHOD</t>
  </si>
  <si>
    <t>PDF PATH</t>
  </si>
  <si>
    <t>Name</t>
  </si>
  <si>
    <t>Kind</t>
  </si>
  <si>
    <t>Data</t>
  </si>
  <si>
    <t>PERIOD START DATE</t>
  </si>
  <si>
    <t>PERIOD END DATE</t>
  </si>
  <si>
    <t>PERIOD START BALANCE</t>
  </si>
  <si>
    <t xml:space="preserve"> PERIOD END BALANCE</t>
  </si>
  <si>
    <t>Period Balance Change</t>
  </si>
  <si>
    <t>Amount Sum</t>
  </si>
  <si>
    <t>Account</t>
  </si>
  <si>
    <t>Statement Date</t>
  </si>
  <si>
    <t>Period Start</t>
  </si>
  <si>
    <t>Period End</t>
  </si>
  <si>
    <t>Balance Start</t>
  </si>
  <si>
    <t>Balance End</t>
  </si>
  <si>
    <t>Balance Error</t>
  </si>
  <si>
    <t>Duplicate Rows</t>
  </si>
  <si>
    <t>Method</t>
  </si>
  <si>
    <t>PayeeName</t>
  </si>
  <si>
    <t>AccountDisplayName</t>
  </si>
  <si>
    <t>StatementDate</t>
  </si>
  <si>
    <t>StartDate</t>
  </si>
  <si>
    <t>EndDate</t>
  </si>
  <si>
    <t>StartBalance</t>
  </si>
  <si>
    <t>EndBalance</t>
  </si>
  <si>
    <t>AccountId</t>
  </si>
  <si>
    <t>MethodId</t>
  </si>
  <si>
    <t>PayeeId</t>
  </si>
  <si>
    <t>TransactionDate</t>
  </si>
  <si>
    <t>PostDate</t>
  </si>
  <si>
    <t>ReferenceNumber</t>
  </si>
  <si>
    <t>Description</t>
  </si>
  <si>
    <t>Amount</t>
  </si>
  <si>
    <t>STATEMENT TOOL</t>
  </si>
  <si>
    <t>Colors</t>
  </si>
  <si>
    <t>Generated Data</t>
  </si>
  <si>
    <t>Manually Entered Data</t>
  </si>
  <si>
    <t>Transposed Data</t>
  </si>
  <si>
    <t>Data Transposition Templates</t>
  </si>
  <si>
    <t>SECU Checking</t>
  </si>
  <si>
    <t>WELLS FARGO CHECKING</t>
  </si>
  <si>
    <t>WELLS FARGO SAVINGS</t>
  </si>
  <si>
    <t>StatementId</t>
  </si>
  <si>
    <t>StatementImageId</t>
  </si>
  <si>
    <t>StatementItemId</t>
  </si>
  <si>
    <t>InvoiceId</t>
  </si>
  <si>
    <t>StatementItemImageId</t>
  </si>
  <si>
    <t>ldr</t>
  </si>
  <si>
    <t>Docker Host:</t>
  </si>
  <si>
    <t>Docker Port:</t>
  </si>
  <si>
    <t>DatabaseName:</t>
  </si>
  <si>
    <t>CITI - CREDIT CARD - 4100 3902 6443 9361</t>
  </si>
  <si>
    <t>BALANCE PAYMENT</t>
  </si>
  <si>
    <t>616B7B4A-2E64-3C4D-EB19-5E4EEC71BCC6</t>
  </si>
  <si>
    <t>3BDB5DEB-9660-90FB-FF72-0D9C3E2A6628</t>
  </si>
  <si>
    <t>BALANCE TRANSFER</t>
  </si>
  <si>
    <t>129314DD-D62C-BD17-E53D-4C5DDC1C85F8</t>
  </si>
  <si>
    <t>CREDIT CARD - 4100 3902 6433 9361</t>
  </si>
  <si>
    <t>F3467A2B-1434-8FDA-EDEC-E549604BC0F1</t>
  </si>
  <si>
    <t>PAYPAL - NOAHHARRIS9811@GMAIL.COM</t>
  </si>
  <si>
    <t>PAYPAL TRANSFER</t>
  </si>
  <si>
    <t>8A1B3DA0-68D8-D0BB-890D-B71101EDE17D</t>
  </si>
  <si>
    <t>47339277-06EF-2FB1-CF3F-9CBD3B58E49E</t>
  </si>
  <si>
    <t>TRANSACTION</t>
  </si>
  <si>
    <t>BD9AA3A7-7CAC-EE1B-6947-28BE61B19E1F</t>
  </si>
  <si>
    <t>TRANSFER TO/FROM BANK</t>
  </si>
  <si>
    <t>66ED715D-A933-F473-DB0F-299AFB26E7D9</t>
  </si>
  <si>
    <t>SECU - CHECKING - 44153121</t>
  </si>
  <si>
    <t>ACH TRANSFER</t>
  </si>
  <si>
    <t>ED01A6D7-436F-A1B7-8982-99253E6E8719</t>
  </si>
  <si>
    <t>E4B712FC-346E-EB6E-E61C-FA0515635F35</t>
  </si>
  <si>
    <t>CASH DEPOSIT</t>
  </si>
  <si>
    <t>CBDA15D3-7F73-27A4-D8D2-F9DEB7EF4AEB</t>
  </si>
  <si>
    <t>CASH WITHDRAWAL</t>
  </si>
  <si>
    <t>6F1449BB-9A5F-0077-B26C-D8C168AC7508</t>
  </si>
  <si>
    <t>CHECK</t>
  </si>
  <si>
    <t>03451771-915D-B94A-DAF6-75B3710C92A5</t>
  </si>
  <si>
    <t>DEBIT CARD - 4327 3901 1458 7754</t>
  </si>
  <si>
    <t>7CB14741-CB51-CD8D-9E72-477B271B6E4E</t>
  </si>
  <si>
    <t>INTEREST</t>
  </si>
  <si>
    <t>3E87FFA6-F3A9-1F3A-3156-B9109628A6D1</t>
  </si>
  <si>
    <t>WIRE TRANSFER</t>
  </si>
  <si>
    <t>58D54721-5A1A-1A65-139B-401A479524DD</t>
  </si>
  <si>
    <t>SECU - CREDIT CARD - 4046 5711 5092 0401</t>
  </si>
  <si>
    <t>BAE20783-ACAB-6930-85C3-AF9D490478DE</t>
  </si>
  <si>
    <t>D2B0454C-F957-585E-94E1-BE7738C2A2A9</t>
  </si>
  <si>
    <t>67820F3E-D543-FB9E-FED5-F908EE753DFB</t>
  </si>
  <si>
    <t>CREDIT CARD - 4046 5711 5092 0401</t>
  </si>
  <si>
    <t>D5F8DC48-809C-2EB5-6A53-03C4B97791FC</t>
  </si>
  <si>
    <t>SECU - SAVINGS - 60559787</t>
  </si>
  <si>
    <t>CE991F09-8D78-35CB-A3D6-0FE1E975ED0C</t>
  </si>
  <si>
    <t>2DA0D38B-BF21-0FE9-EBA7-53A27A11DC07</t>
  </si>
  <si>
    <t>650CFC0F-806E-D218-E0AA-548025C3DDA9</t>
  </si>
  <si>
    <t>B58252A1-2F95-EB49-042A-A85118A01723</t>
  </si>
  <si>
    <t>C04D7693-2CC4-F574-D1B2-DCE45DF4D477</t>
  </si>
  <si>
    <t>045BDA81-385C-0B34-CB03-6B89C422D63C</t>
  </si>
  <si>
    <t>USA - WALLET - CLAIREWALLET1</t>
  </si>
  <si>
    <t>CASH TRANSACTION</t>
  </si>
  <si>
    <t>2B6A9E7A-9229-45E6-9F37-6390105C5204</t>
  </si>
  <si>
    <t>E6ACA286-49EE-2F47-B4A6-8BA464698BF1</t>
  </si>
  <si>
    <t>USA - WALLET - NOAHWALLET1</t>
  </si>
  <si>
    <t>30AA8CA1-C196-4D39-3F83-CE2FD4217824</t>
  </si>
  <si>
    <t>E0C89C39-2FF0-13A0-AC87-704ABF23650D</t>
  </si>
  <si>
    <t>VENMO - @CCMILLER123</t>
  </si>
  <si>
    <t>09EF63AD-483C-168F-C36C-62415C21004E</t>
  </si>
  <si>
    <t>23EC8F13-12CC-8EBF-1092-E02A1C90BC2A</t>
  </si>
  <si>
    <t>2ABE3226-3B3D-C3BB-9532-8D49B3C481CB</t>
  </si>
  <si>
    <t>VENMO TRANSFER</t>
  </si>
  <si>
    <t>1B762D10-1CD0-8C63-411D-EA22E7D58D05</t>
  </si>
  <si>
    <t>VENMO - @NOAH_HARRIS01</t>
  </si>
  <si>
    <t>E2CE3A14-65AC-FF67-14D4-4DDF04272E2A</t>
  </si>
  <si>
    <t>CF42C730-FC87-98E8-7C47-6C3BE1489AB1</t>
  </si>
  <si>
    <t>9DD51176-04BE-8E87-2DEB-B41420491F2E</t>
  </si>
  <si>
    <t>21EA43AE-2EF2-4A41-9CCA-9BCD4EEE6E15</t>
  </si>
  <si>
    <t>WELLS FARGO - CHECKING - 8809559209</t>
  </si>
  <si>
    <t>CD305120-C0EF-8CF8-C7F5-FBF69CBECB10</t>
  </si>
  <si>
    <t>0A36261D-F99E-CB78-05AF-6484BE65EB08</t>
  </si>
  <si>
    <t>C7B3BD37-035A-D59D-3266-98E4E3243A16</t>
  </si>
  <si>
    <t>D686509E-39B9-65C1-5030-8A30D8773EE9</t>
  </si>
  <si>
    <t>9A71E0A1-731C-ADC7-BD25-05EB41190780</t>
  </si>
  <si>
    <t>DEBIT CARD - 4737 0340 7294 0100</t>
  </si>
  <si>
    <t>9C6E5672-E1D1-7651-53BA-C1D649F0007E</t>
  </si>
  <si>
    <t>DEBIT CARD - 5619</t>
  </si>
  <si>
    <t>929F8009-547E-0553-B77A-717F11B6965C</t>
  </si>
  <si>
    <t>A5ECBED1-C1C1-A734-D5B6-DCF6BABA2FA6</t>
  </si>
  <si>
    <t>341A7D40-A157-4A11-FA9F-EBBBC1A5000B</t>
  </si>
  <si>
    <t>WELLS FARGO - CREDIT CARD - 4147 1816 1834 6534</t>
  </si>
  <si>
    <t>79F95F39-20EF-7CDF-3994-730A694AD927</t>
  </si>
  <si>
    <t>5615EE02-7B63-4DCF-8F46-E6E86B2F6C4A</t>
  </si>
  <si>
    <t>9CC7252A-CB2F-0613-DE95-08D199303D63</t>
  </si>
  <si>
    <t>CREDIT CARD - 4147 1816 1834 6534</t>
  </si>
  <si>
    <t>5BC4642A-6A4B-6B7F-C175-8114D38EB74B</t>
  </si>
  <si>
    <t>WELLS FARGO - CREDIT CARD REWARDS - 60022716268</t>
  </si>
  <si>
    <t>CASH BACK EARNINGS</t>
  </si>
  <si>
    <t>A85FD8B3-E8CC-4651-9074-12D15E23EA91</t>
  </si>
  <si>
    <t>6E9F9554-6AA6-725B-4566-2D887E8B6603</t>
  </si>
  <si>
    <t>CASH BACK REDEMPTION</t>
  </si>
  <si>
    <t>759C940F-D8B3-59D3-C569-53C3517DF98F</t>
  </si>
  <si>
    <t>WELLS FARGO - SAVINGS - 1810566578</t>
  </si>
  <si>
    <t>CA4C73E6-1231-2E43-021E-9004ACA21C76</t>
  </si>
  <si>
    <t>C1ED535F-FA72-CCEC-AC5C-88A207CAF240</t>
  </si>
  <si>
    <t>191E744E-6B6B-27CF-8289-61AF4D77700A</t>
  </si>
  <si>
    <t>91D41A43-6A7F-3D23-6E4A-46193665BE32</t>
  </si>
  <si>
    <t>2732B1B2-C215-7845-B2CC-FEA5600FDB55</t>
  </si>
  <si>
    <t>FDBFCE89-EA23-49F3-02E5-16124D3706E3</t>
  </si>
  <si>
    <t>1718 BREWING</t>
  </si>
  <si>
    <t>86F5C54A-AD99-552F-1D91-977667A5DB83</t>
  </si>
  <si>
    <t>7 BREW</t>
  </si>
  <si>
    <t>4D40CE24-4FA5-0884-926B-B4F42DA09011</t>
  </si>
  <si>
    <t>7ELEVEN</t>
  </si>
  <si>
    <t>4383FA98-1A88-EB1E-EF59-A7B60BFAB2C4</t>
  </si>
  <si>
    <t>86CLUB</t>
  </si>
  <si>
    <t>8FB3DAF0-43F0-4CA6-716B-760FA356DA62</t>
  </si>
  <si>
    <t>999 OR LESS</t>
  </si>
  <si>
    <t>5AD7D5D6-D55A-A2C4-6758-9D76BFE37D15</t>
  </si>
  <si>
    <t>ABM PARKING</t>
  </si>
  <si>
    <t>F86F9684-2B72-F305-5D35-4EC46653CC62</t>
  </si>
  <si>
    <t>ACE HARDWARE</t>
  </si>
  <si>
    <t>A3FC7512-CA47-BFFB-2C50-4519B28369A6</t>
  </si>
  <si>
    <t>ADVANCE AUTO PARTS</t>
  </si>
  <si>
    <t>CE6AF55A-3E9F-41DF-A13D-1955771CECCD</t>
  </si>
  <si>
    <t>AERIE</t>
  </si>
  <si>
    <t>7A206B4F-DE8C-0861-BE08-FD32F1F2E2AA</t>
  </si>
  <si>
    <t>ALDI</t>
  </si>
  <si>
    <t>9F7D2641-82B3-416D-7E32-077A3B0A35E5</t>
  </si>
  <si>
    <t>ALIBI COFFEE</t>
  </si>
  <si>
    <t>26B6B8D8-F339-CE5A-DA08-2E2A6375E703</t>
  </si>
  <si>
    <t>ALIEN JAVA</t>
  </si>
  <si>
    <t>45AA0477-DD0A-6D20-3A39-3DA5A4D32E62</t>
  </si>
  <si>
    <t>ALPACA</t>
  </si>
  <si>
    <t>5B10807C-0D45-702A-9785-6F0C1A47F684</t>
  </si>
  <si>
    <t>ALS BURGER SHACK</t>
  </si>
  <si>
    <t>B04F9DBA-C401-0676-4EC3-7FA53FCEC37B</t>
  </si>
  <si>
    <t>AMAZON</t>
  </si>
  <si>
    <t>4900F18E-A67D-D3DF-C0BB-02F6E9C7B23D</t>
  </si>
  <si>
    <t>AMELIES FRENCH BAKERY</t>
  </si>
  <si>
    <t>0CFE60A2-C4FF-43E1-3FBC-84568FCF085B</t>
  </si>
  <si>
    <t>AMERICA NATIONAL PARKS</t>
  </si>
  <si>
    <t>FC72EA66-AD9A-AB20-3D4B-609B4D16C327</t>
  </si>
  <si>
    <t>AMERICAN EAGLE</t>
  </si>
  <si>
    <t>7C6C9DB8-F74F-9460-33CF-B4A9F5C76325</t>
  </si>
  <si>
    <t>AMERICAN MUSCLE</t>
  </si>
  <si>
    <t>DF56303D-79D2-DEC9-2CD2-696EEA834064</t>
  </si>
  <si>
    <t>ANALOG CLASSICS</t>
  </si>
  <si>
    <t>35D0CA4F-8E32-B111-1B3E-9ECA88484FF8</t>
  </si>
  <si>
    <t>ANDYS FROZEN CUSTARD</t>
  </si>
  <si>
    <t>623CB824-3386-81E3-07FE-16711FDF9CA1</t>
  </si>
  <si>
    <t>ANTHROPIC</t>
  </si>
  <si>
    <t>7B0FC221-6435-4861-8383-BD78154DD11D</t>
  </si>
  <si>
    <t>ANTHROPOLOGIE</t>
  </si>
  <si>
    <t>88F8AC38-4384-738A-9D97-BF0BECBD69AF</t>
  </si>
  <si>
    <t>APP SKI MOUNTAIN</t>
  </si>
  <si>
    <t>640B4044-21E4-CCC7-676F-F79C6A803F9B</t>
  </si>
  <si>
    <t>AT HOME</t>
  </si>
  <si>
    <t>ADFB2CC6-72FF-45E3-3711-2AEE7E4AF2D5</t>
  </si>
  <si>
    <t>ATM MACHINE</t>
  </si>
  <si>
    <t>01F78823-F89C-5EDA-9FAD-5ADE4621727D</t>
  </si>
  <si>
    <t>AUTOZONE</t>
  </si>
  <si>
    <t>8C7EC298-21EA-E9BA-DB5D-2D5171CE0B9A</t>
  </si>
  <si>
    <t>BACK OF THE DRAGON BREWERY</t>
  </si>
  <si>
    <t>93088970-9F49-4DED-CDF1-A5D7D34ADAA8</t>
  </si>
  <si>
    <t>BACKYARD BURGERS</t>
  </si>
  <si>
    <t>336B2C9E-B282-CAC6-55CA-81F0E733A749</t>
  </si>
  <si>
    <t>BAGELS ON POINTE</t>
  </si>
  <si>
    <t>3304F453-2590-56B2-ABBC-DBD3834E7FA9</t>
  </si>
  <si>
    <t>BAILEYS FINE JEWELRY</t>
  </si>
  <si>
    <t>644DA9DB-773B-CF92-BD75-800841DA4E70</t>
  </si>
  <si>
    <t>BAR TACO</t>
  </si>
  <si>
    <t>7684056E-996D-1887-7AF6-CB5E79B9D165</t>
  </si>
  <si>
    <t>BAR VIRGILE</t>
  </si>
  <si>
    <t>FC167ECE-91EA-5D27-6B59-BA5854E803A5</t>
  </si>
  <si>
    <t>BARE BAKED PIZZA</t>
  </si>
  <si>
    <t>D4804239-8427-BF83-C107-C59CE609789E</t>
  </si>
  <si>
    <t>BAREFOOT BERNIES</t>
  </si>
  <si>
    <t>984A84E3-6F71-5580-7D58-B842868ED457</t>
  </si>
  <si>
    <t>BARNS AND NOBLE</t>
  </si>
  <si>
    <t>B8ACA2AE-D739-27B7-6373-216ED50F9518</t>
  </si>
  <si>
    <t>BARRETTS EAST COAST</t>
  </si>
  <si>
    <t>C2EF954E-B1A4-579D-5288-010CE0F7D92E</t>
  </si>
  <si>
    <t>BASKIN ROBINS</t>
  </si>
  <si>
    <t>B2A1C6CA-E323-7524-61AA-852A42E8668D</t>
  </si>
  <si>
    <t>BATH AND BODY WORKS</t>
  </si>
  <si>
    <t>3521553D-D1EE-3954-1901-BDC469FFFE68</t>
  </si>
  <si>
    <t>BBS CRISPY CHICKEN</t>
  </si>
  <si>
    <t>7446FA1B-2012-0E95-DAD2-3F3D975D2ACE</t>
  </si>
  <si>
    <t>BEAN TRADERS</t>
  </si>
  <si>
    <t>24529063-CD52-A3F3-0636-38EAA573636D</t>
  </si>
  <si>
    <t>BEE SWEET</t>
  </si>
  <si>
    <t>2C6F8CCB-55AF-ECF6-320F-4583179B164E</t>
  </si>
  <si>
    <t>BEER STUDY</t>
  </si>
  <si>
    <t>6E41C840-5CF8-022F-563F-B9D0EC53C584</t>
  </si>
  <si>
    <t>BELK</t>
  </si>
  <si>
    <t>782BB3CD-7D51-92D7-F909-BB93AA8BFE41</t>
  </si>
  <si>
    <t>BES TBUY</t>
  </si>
  <si>
    <t>755778C4-E0AA-12AC-93FD-D2A734582873</t>
  </si>
  <si>
    <t>BEST ITALIAN GATLINBURG</t>
  </si>
  <si>
    <t>EF57903D-3ED1-9B47-F2A8-29CA0497536A</t>
  </si>
  <si>
    <t>BIGGBY COFFEE</t>
  </si>
  <si>
    <t>30CC7D2B-FFE3-1C9A-B740-029E4640CB0C</t>
  </si>
  <si>
    <t>BISCUITVILLE</t>
  </si>
  <si>
    <t>C0D2D805-284A-AE28-3899-C8E93C936A83</t>
  </si>
  <si>
    <t>BLACK AND WHITE</t>
  </si>
  <si>
    <t>F2A8B1A2-512A-1DD1-2986-496DD7EA19AD</t>
  </si>
  <si>
    <t>BLACKSTONE</t>
  </si>
  <si>
    <t>E195B655-F170-DA63-867A-9BC34184E103</t>
  </si>
  <si>
    <t>BLIZZARD ENTERTAINMENT</t>
  </si>
  <si>
    <t>746502FC-06F3-7533-374C-8CDD928C634E</t>
  </si>
  <si>
    <t>BLOWING ROCK BREWING CO</t>
  </si>
  <si>
    <t>FB7C3669-EF47-DDAD-2AC2-90BC393C3C7B</t>
  </si>
  <si>
    <t>BLUE DEER COOKIES</t>
  </si>
  <si>
    <t>E854860A-F95D-06A1-DBB5-A141926EFBF4</t>
  </si>
  <si>
    <t>BOBS GRILL</t>
  </si>
  <si>
    <t>CE15106E-76F0-0A27-3A6F-354C5F6A146B</t>
  </si>
  <si>
    <t>BOOK OF THE MONTH</t>
  </si>
  <si>
    <t>ED4AA0FD-5F2C-9992-03CD-7E584D07CE91</t>
  </si>
  <si>
    <t>BP</t>
  </si>
  <si>
    <t>FFCDD496-D58E-937E-E3B3-D843CFFE3AF7</t>
  </si>
  <si>
    <t>BRIGHT PENNY BREWING</t>
  </si>
  <si>
    <t>4A678E2E-A529-8875-CBF0-1E8E54B805D7</t>
  </si>
  <si>
    <t>BRITECO</t>
  </si>
  <si>
    <t>363364EF-9781-9FB3-4C19-47CBEE773691</t>
  </si>
  <si>
    <t>BRUEGGERS</t>
  </si>
  <si>
    <t>C16003A4-2741-EC5B-8335-117CE6F93E64</t>
  </si>
  <si>
    <t>BRUS PUBLIC HOUSE</t>
  </si>
  <si>
    <t>DDCA6A81-BA6B-EB6C-43C6-951D9BDCC119</t>
  </si>
  <si>
    <t>BUCEES</t>
  </si>
  <si>
    <t>07D0A75B-60A6-63BC-50B6-29CC142A0EB6</t>
  </si>
  <si>
    <t>BUFFALO TRAIL RESTAURAUNT AND BAR</t>
  </si>
  <si>
    <t>CCA9C83E-274B-B74E-099E-F2211CA29233</t>
  </si>
  <si>
    <t>BUL BOX</t>
  </si>
  <si>
    <t>D22DC201-5D2A-D88D-E964-A0251B5B082F</t>
  </si>
  <si>
    <t>BULL AND BEAN</t>
  </si>
  <si>
    <t>3FAC6B68-9C2D-BDB3-88E2-2BA408BE4A13</t>
  </si>
  <si>
    <t>BURGWIN-WRIGHT</t>
  </si>
  <si>
    <t>BB3CA4CA-231D-588A-60E3-AFAF1AD97AB6</t>
  </si>
  <si>
    <t>BUSCH GARDENS</t>
  </si>
  <si>
    <t>57ADE4D2-F50A-B4C9-4ABC-8253DED2BB35</t>
  </si>
  <si>
    <t>CAFFE DRIADE</t>
  </si>
  <si>
    <t>5CEDDC32-BBED-7FE0-D718-8BF2B9A0B7F7</t>
  </si>
  <si>
    <t>CALIBER COLLISION</t>
  </si>
  <si>
    <t>11DAB446-55D2-6544-944B-31FD37C6BB8E</t>
  </si>
  <si>
    <t>CAMP COFFEE</t>
  </si>
  <si>
    <t>598022E5-3488-8302-326B-C41C683AA367</t>
  </si>
  <si>
    <t>CARIBOU COFFEE</t>
  </si>
  <si>
    <t>F17CDD7C-A5FB-DE39-DC1B-CE2D66988EC8</t>
  </si>
  <si>
    <t>CAROLINA ALE HOUSE</t>
  </si>
  <si>
    <t>E5957836-545E-5466-C17C-87C8160F8FAC</t>
  </si>
  <si>
    <t>CAROLINA BALLET</t>
  </si>
  <si>
    <t>87A28035-5D51-2711-5F0B-B89D72071FF7</t>
  </si>
  <si>
    <t>CAROLINA BREWERY</t>
  </si>
  <si>
    <t>501EB46B-0659-8006-5009-79AF89153D58</t>
  </si>
  <si>
    <t>CAROLINA BREWING</t>
  </si>
  <si>
    <t>1AD3F6C3-E8DB-97C8-6C6E-0D62A9765538</t>
  </si>
  <si>
    <t>CAVA</t>
  </si>
  <si>
    <t>86760DD8-1E92-9931-BAB4-0FD496BC2A62</t>
  </si>
  <si>
    <t>CELEBRITY DAIRY</t>
  </si>
  <si>
    <t>72519FE0-9BE6-3FF0-4910-0F2BB258A623</t>
  </si>
  <si>
    <t>CH PARKING METERS</t>
  </si>
  <si>
    <t>0B5E0F98-4CDB-D8EF-A2C8-0236BE0B5041</t>
  </si>
  <si>
    <t>CHAMPION</t>
  </si>
  <si>
    <t>EAA331A4-8792-CD74-0F22-86B3B5CA5AC5</t>
  </si>
  <si>
    <t>CHANDLER</t>
  </si>
  <si>
    <t>4839001D-067C-5D0A-157E-BB0DFB5A3FFE</t>
  </si>
  <si>
    <t>CHARLIES KABOB</t>
  </si>
  <si>
    <t>EAC01102-8F6B-BACE-EE31-96CD01AA33A1</t>
  </si>
  <si>
    <t>CHARLOTTE BEER GARDEN</t>
  </si>
  <si>
    <t>3E1710B3-5519-CD79-A4E8-C3869331CE6F</t>
  </si>
  <si>
    <t>CHICK FIL A</t>
  </si>
  <si>
    <t>22FE1ADE-C335-BB11-17F9-E87CF80CF0DF</t>
  </si>
  <si>
    <t>CHIPOTLE</t>
  </si>
  <si>
    <t>6854A99F-BECB-9F72-3A0E-A68B862D629E</t>
  </si>
  <si>
    <t>CHIPTOLE</t>
  </si>
  <si>
    <t>0710D255-A3F7-89EA-9811-8C225E4F409E</t>
  </si>
  <si>
    <t>CHOPT</t>
  </si>
  <si>
    <t>ADD080E9-8242-7DEB-9BB2-948A5A318B8C</t>
  </si>
  <si>
    <t>CHRISTIAN BROTHERS</t>
  </si>
  <si>
    <t>FB208287-08D1-C903-9C6A-588563CCCC16</t>
  </si>
  <si>
    <t>CHRISTMAS IN BLOWING ROCK</t>
  </si>
  <si>
    <t>4095EB81-31EC-D1A6-B22B-0BF729951795</t>
  </si>
  <si>
    <t>CHUBBYS TACOS</t>
  </si>
  <si>
    <t>01C44018-2A15-0DE6-A009-3270CEBDDEA9</t>
  </si>
  <si>
    <t>CHUYS</t>
  </si>
  <si>
    <t>B65CF75C-742B-6989-363B-88C1E5632C39</t>
  </si>
  <si>
    <t>CINMARK</t>
  </si>
  <si>
    <t>2235ECFF-1489-4E59-A3F6-D1743E123393</t>
  </si>
  <si>
    <t>CINNABON</t>
  </si>
  <si>
    <t>FA02BF4F-1A75-7F85-5704-37A2380C8484</t>
  </si>
  <si>
    <t>CIRCLE K</t>
  </si>
  <si>
    <t>39E5A23A-B18F-29B2-1E5E-D37F6AEADF05</t>
  </si>
  <si>
    <t>CITGO</t>
  </si>
  <si>
    <t>864E29EA-54EF-9506-3392-8170CA98153E</t>
  </si>
  <si>
    <t>CITI</t>
  </si>
  <si>
    <t>52E8B036-41D1-46CD-B6E4-642D1740C821</t>
  </si>
  <si>
    <t>CITY OF DURHAM</t>
  </si>
  <si>
    <t>37798E3A-33A2-B640-EEC5-5BF222AEBEEE</t>
  </si>
  <si>
    <t>COASTAL CREAMERY</t>
  </si>
  <si>
    <t>685E101B-6D96-84DA-3429-1DE50DBC6EA7</t>
  </si>
  <si>
    <t>COFFEE ARMORY</t>
  </si>
  <si>
    <t>F5CC9306-66B9-2D2E-C596-AC8EA1488F55</t>
  </si>
  <si>
    <t>COLDSTONE</t>
  </si>
  <si>
    <t>3582B121-0817-7A53-B6BF-E938D16F21B3</t>
  </si>
  <si>
    <t>COLONIAL GRIND</t>
  </si>
  <si>
    <t>FC172EB5-145F-E090-6812-A1719A15477B</t>
  </si>
  <si>
    <t>COLUMBIA</t>
  </si>
  <si>
    <t>6F4F5A21-AC0A-84CE-9DDF-C766751D2EC5</t>
  </si>
  <si>
    <t>COMFRT</t>
  </si>
  <si>
    <t>8289EE86-D7B3-EAB8-BEFD-AF849C7B3EB0</t>
  </si>
  <si>
    <t>COMMON GROUNDS</t>
  </si>
  <si>
    <t>B2A123EA-CF26-8CD5-C42C-462202960B4A</t>
  </si>
  <si>
    <t>COOK OUT</t>
  </si>
  <si>
    <t>B57527E5-CE58-D5D3-20FA-A5D222F78ABB</t>
  </si>
  <si>
    <t>COSMIC CANTINA</t>
  </si>
  <si>
    <t>4FCA0EEA-B449-0E4B-BA8A-5D5ACB19A322</t>
  </si>
  <si>
    <t>COSTCO</t>
  </si>
  <si>
    <t>7D85227F-81E3-92DB-1702-7F1F9288FD54</t>
  </si>
  <si>
    <t>COUNTRY SQUIRE</t>
  </si>
  <si>
    <t>6850142B-8060-49C2-E6B1-3A497C57058E</t>
  </si>
  <si>
    <t>CRACKER BARREL</t>
  </si>
  <si>
    <t>E43A2ADA-5195-1A2B-3E6F-F6D03661245E</t>
  </si>
  <si>
    <t>CSC SERVICEWORKS</t>
  </si>
  <si>
    <t>0F32DCDD-2A3F-BC47-7D28-F5403F953DC7</t>
  </si>
  <si>
    <t>CUGINO FORNO</t>
  </si>
  <si>
    <t>30E4DFCA-CE5D-E098-B07E-17574B409557</t>
  </si>
  <si>
    <t>CUP A JOE</t>
  </si>
  <si>
    <t>15518AFA-EADC-81F8-377B-3A29D0DBE52D</t>
  </si>
  <si>
    <t>CVS</t>
  </si>
  <si>
    <t>8F2B3351-73EC-F1C1-AEB5-259D61FABB3A</t>
  </si>
  <si>
    <t>DARIO</t>
  </si>
  <si>
    <t>4F504C8A-2C3B-4D53-DB65-52A033EEF3D4</t>
  </si>
  <si>
    <t>DAUGHTERS COFFEE</t>
  </si>
  <si>
    <t>5BCEACFB-4BD4-E993-9FA8-CB4D494BCD13</t>
  </si>
  <si>
    <t>DAYTONA INTERNATIONAL SPEEDWAY</t>
  </si>
  <si>
    <t>9AC2B486-4307-619B-4C60-3545BBD749B6</t>
  </si>
  <si>
    <t>DEEP WATER VINEYARD</t>
  </si>
  <si>
    <t>D07136F6-2FCF-1570-3515-E73659098751</t>
  </si>
  <si>
    <t>DEL TACO</t>
  </si>
  <si>
    <t>DCC351DF-ABD6-FFCF-8F03-7457040CA61C</t>
  </si>
  <si>
    <t>DERAILLEUR HANGER</t>
  </si>
  <si>
    <t>A71695DD-9FB0-D73D-9137-0A8C51BE9E94</t>
  </si>
  <si>
    <t>DGX WILMINGTON</t>
  </si>
  <si>
    <t>262780E3-B74F-8FD0-D9AD-79C35F08547D</t>
  </si>
  <si>
    <t>DISCOUNT TIRE</t>
  </si>
  <si>
    <t>164C5C72-8AB8-2183-5DE9-BD68B24B5D5C</t>
  </si>
  <si>
    <t>DOC BS</t>
  </si>
  <si>
    <t>6A5D413B-5685-19AF-0483-70615ECDBC39</t>
  </si>
  <si>
    <t>DOLLAR GENERAL</t>
  </si>
  <si>
    <t>DD10764C-39DD-46DE-910A-CC86D7AF88B1</t>
  </si>
  <si>
    <t>DOLLAR TREE</t>
  </si>
  <si>
    <t>74BDAC71-71F2-4199-55DD-C4BAB88E6B27</t>
  </si>
  <si>
    <t>DONGAR</t>
  </si>
  <si>
    <t>54EEA3AA-84CA-F7FA-ACBB-36DAD125A973</t>
  </si>
  <si>
    <t>DPAC</t>
  </si>
  <si>
    <t>9E48486F-D4D8-13C9-0174-2A5142F69438</t>
  </si>
  <si>
    <t>DRIFT</t>
  </si>
  <si>
    <t>290D054F-32B8-4836-2979-E9D1A38C6BBB</t>
  </si>
  <si>
    <t>DUKE ENERGY</t>
  </si>
  <si>
    <t>F2349DE2-B012-05F2-E64B-7529282AB169</t>
  </si>
  <si>
    <t>DUKE HEALTH</t>
  </si>
  <si>
    <t>074D263D-4B01-87AF-F02D-A4DF0E6EF94D</t>
  </si>
  <si>
    <t>DUKE UNIVERSITY</t>
  </si>
  <si>
    <t>FFAE1483-050A-DED5-43B3-3E81AEE3C915</t>
  </si>
  <si>
    <t>DUNKIN</t>
  </si>
  <si>
    <t>1FDFDE0D-8DAA-B392-DF33-78D1D99764F4</t>
  </si>
  <si>
    <t>DURHAM BULLS</t>
  </si>
  <si>
    <t>D1FDB29D-682D-A4CC-F942-492DB6F8BF27</t>
  </si>
  <si>
    <t>DURHAM CENTRE</t>
  </si>
  <si>
    <t>CE7B2E2E-7AA3-8CAF-B9C5-8FE10FB2141E</t>
  </si>
  <si>
    <t>DURHAM FOOD HALL</t>
  </si>
  <si>
    <t>7A1264F7-B1BD-0AA2-C73D-6647CC6E55FC</t>
  </si>
  <si>
    <t>DURHAM RESCUE MISSION</t>
  </si>
  <si>
    <t>47E75339-465B-D9D2-117F-D12B21261925</t>
  </si>
  <si>
    <t>DURTY BULL</t>
  </si>
  <si>
    <t>2CA0E40A-DEE8-C12D-BD87-3B224F474ACC</t>
  </si>
  <si>
    <t>DUTCH BROS</t>
  </si>
  <si>
    <t>471FD61D-E86E-5689-B68F-647C639BADD1</t>
  </si>
  <si>
    <t>EA</t>
  </si>
  <si>
    <t>140E1496-E925-5AAE-3DCE-3927751527D0</t>
  </si>
  <si>
    <t>EARLY BIRD DOUNUTS</t>
  </si>
  <si>
    <t>D43B005C-5A32-F3E7-0E5F-F258D0B34B4C</t>
  </si>
  <si>
    <t>EASTCUT</t>
  </si>
  <si>
    <t>DAAC36EF-FAF4-6DC2-4327-12A22EFA4547</t>
  </si>
  <si>
    <t>EBAY</t>
  </si>
  <si>
    <t>A4BFF66C-FA6E-C50A-3D50-E46CBDB24CB5</t>
  </si>
  <si>
    <t>ELITE NAIL SPA</t>
  </si>
  <si>
    <t>3CE7C34D-14C6-E45C-BDDF-5DAA67AE89E3</t>
  </si>
  <si>
    <t>ELMOS</t>
  </si>
  <si>
    <t>D7568414-610E-FD45-2073-9C8B65277C3C</t>
  </si>
  <si>
    <t>ENBRIDGE</t>
  </si>
  <si>
    <t>37F14FF8-C6EF-F5DF-F8EE-B902B2E9C60E</t>
  </si>
  <si>
    <t>ETSY</t>
  </si>
  <si>
    <t>788F67E8-D3C8-DDF9-7A5A-D4A80114093B</t>
  </si>
  <si>
    <t>EXPEDIA</t>
  </si>
  <si>
    <t>385A2E09-D8E2-50A7-BCB0-2B42F2465538</t>
  </si>
  <si>
    <t>EXXON</t>
  </si>
  <si>
    <t>D7C4E38D-8023-D2EC-CBB0-2F231248AD34</t>
  </si>
  <si>
    <t>FAMILY DOLLAR</t>
  </si>
  <si>
    <t>F822AF5E-E246-4461-A1DB-614A9F0B5EA5</t>
  </si>
  <si>
    <t>FARM BURGER</t>
  </si>
  <si>
    <t>C7D4B08E-F429-3094-C3A6-3CFAE824BD17</t>
  </si>
  <si>
    <t>FAST LUBE PLUS</t>
  </si>
  <si>
    <t>AA2E2B13-2FFF-A7B5-AED2-4DC1D1A27C34</t>
  </si>
  <si>
    <t>FAST MED</t>
  </si>
  <si>
    <t>519D2DE7-16F1-4CC1-A057-40AADF66C135</t>
  </si>
  <si>
    <t>FASTMED</t>
  </si>
  <si>
    <t>E1B01D01-B4D5-0D81-48B6-086E2203AEBC</t>
  </si>
  <si>
    <t>FATBOYZ</t>
  </si>
  <si>
    <t>30DBFEFF-0ACF-6D26-2E92-18F7467701D5</t>
  </si>
  <si>
    <t>FISH HEADS</t>
  </si>
  <si>
    <t>A5305C7A-12C8-0CB2-9403-168B14EF0C53</t>
  </si>
  <si>
    <t>FIVE BELOW</t>
  </si>
  <si>
    <t>0661C049-5FD5-628E-D7C6-4B0D7B93EE67</t>
  </si>
  <si>
    <t>FIVE GUYS</t>
  </si>
  <si>
    <t>2F12B323-863B-E373-F108-B60715CBFFC8</t>
  </si>
  <si>
    <t>FL COFFEE</t>
  </si>
  <si>
    <t>F66A4C7D-4F12-4E76-854F-30866DDBD193</t>
  </si>
  <si>
    <t>FLEET FEET</t>
  </si>
  <si>
    <t>819F75D4-D20C-015C-21EF-45686D3A8CCC</t>
  </si>
  <si>
    <t>FLUFFYS DOUGHNUTS</t>
  </si>
  <si>
    <t>668DC17E-F498-6A70-6318-CC421F0AC1C2</t>
  </si>
  <si>
    <t>FOOD LION</t>
  </si>
  <si>
    <t>9EE100E8-723C-7E7F-31EF-CF872F17709E</t>
  </si>
  <si>
    <t>FOSTER STREET COFFEE</t>
  </si>
  <si>
    <t>140F1198-E4B0-DB85-F761-1E211A3EA031</t>
  </si>
  <si>
    <t>FOXTAIL COFFEE</t>
  </si>
  <si>
    <t>25168CE4-DE17-0619-B144-8F9E74E4F829</t>
  </si>
  <si>
    <t>FRANKIES</t>
  </si>
  <si>
    <t>40799D31-F8AA-ECB6-B03B-E3F391B39AD2</t>
  </si>
  <si>
    <t>FREDDYS FROZEN CUSTARD</t>
  </si>
  <si>
    <t>EB11482A-661C-C720-6A8B-A6E2CA184648</t>
  </si>
  <si>
    <t>FRONT PORCH CAFE</t>
  </si>
  <si>
    <t>BF686DE7-5150-9B6C-8934-6A4022586F14</t>
  </si>
  <si>
    <t>FRONTIER AIRLINES</t>
  </si>
  <si>
    <t>E24F1BAC-E953-1447-5F38-0C0098B65141</t>
  </si>
  <si>
    <t>G2A</t>
  </si>
  <si>
    <t>9CC19EA0-31C7-5A46-314B-1CC2C9A2D660</t>
  </si>
  <si>
    <t>GEORGES PIZZARIA</t>
  </si>
  <si>
    <t>CDE8F78D-93D9-6F6F-492E-F759295C99A3</t>
  </si>
  <si>
    <t>GIRL SCOUTS</t>
  </si>
  <si>
    <t>9646C0A4-9045-E854-F037-44B8CB03B1ED</t>
  </si>
  <si>
    <t>GITHUB</t>
  </si>
  <si>
    <t>349A2181-8BFA-7E07-8258-0D87C911895E</t>
  </si>
  <si>
    <t>GO OUTDOORS</t>
  </si>
  <si>
    <t>B60A5479-22D4-5E73-AA06-892AC9FC6079</t>
  </si>
  <si>
    <t>GOATS ON THE ROOF</t>
  </si>
  <si>
    <t>290F0806-8EE8-1018-007F-8FD4FB29D001</t>
  </si>
  <si>
    <t>GOLDEN PIZZA AND SUBS</t>
  </si>
  <si>
    <t>C0A5ED70-9A75-11E4-FEC9-4A6351E224DF</t>
  </si>
  <si>
    <t>GOODBERRYS</t>
  </si>
  <si>
    <t>A7D3B104-E23C-DC79-4331-3EC4981A49CB</t>
  </si>
  <si>
    <t>GOOGLE</t>
  </si>
  <si>
    <t>9B03F0C2-019A-FC05-0D3A-9C22EA24B1C0</t>
  </si>
  <si>
    <t>GOPUFF</t>
  </si>
  <si>
    <t>5BA8A7F3-156F-F102-DD11-8D64C87D5AE7</t>
  </si>
  <si>
    <t>GRANDFATHER MOUNTAIN</t>
  </si>
  <si>
    <t>5F3CEFF9-C317-7E56-B9BE-F7BCBA600D7F</t>
  </si>
  <si>
    <t>GREAT WOLF LODGE</t>
  </si>
  <si>
    <t>2CAC4839-EC68-41DC-80FD-63EB18FBA879</t>
  </si>
  <si>
    <t>GREYS TAVERN</t>
  </si>
  <si>
    <t>10366953-1238-B568-D3A9-56AA7EAE411E</t>
  </si>
  <si>
    <t>GRINDERS</t>
  </si>
  <si>
    <t>2125A939-C687-3491-435E-95F948EEE2E5</t>
  </si>
  <si>
    <t>GRITS GRILL</t>
  </si>
  <si>
    <t>6F40E732-A1C9-D487-19E6-D95BB8A62608</t>
  </si>
  <si>
    <t>GUGLHUPF</t>
  </si>
  <si>
    <t>6BCCB37B-DDEF-6825-7599-DF9550231158</t>
  </si>
  <si>
    <t>HAAGEN DAZS</t>
  </si>
  <si>
    <t>BE50DAF6-76D6-256C-8690-0A688C5ABECD</t>
  </si>
  <si>
    <t>HABITAT FOR HUMANITY</t>
  </si>
  <si>
    <t>D6D67C4D-AD97-4151-6289-D8BC387E740B</t>
  </si>
  <si>
    <t>HAN DEE HUGOS</t>
  </si>
  <si>
    <t>26E359F1-C143-B814-F107-D7C88ABB473D</t>
  </si>
  <si>
    <t>HANDELS</t>
  </si>
  <si>
    <t>DF1F71CD-8500-E5CB-1683-BC3FBF696588</t>
  </si>
  <si>
    <t>HARBOR FREIGHT</t>
  </si>
  <si>
    <t>33F91803-1E2E-AA56-3174-DC304ABE11BA</t>
  </si>
  <si>
    <t>HARRIS TEETER</t>
  </si>
  <si>
    <t>B4839875-EB05-03A5-D172-A5458CED1B49</t>
  </si>
  <si>
    <t>HATTERAS LIGHTHOUSE GIFT SHOP</t>
  </si>
  <si>
    <t>F6537B0C-F9D8-823E-DCEF-92AC0E122151</t>
  </si>
  <si>
    <t>HAYMAKER</t>
  </si>
  <si>
    <t>F3F0F908-1677-A771-B0A0-B411D94B363D</t>
  </si>
  <si>
    <t>HELLO FRESH</t>
  </si>
  <si>
    <t>9D758392-99B9-3ABC-84F8-61E0F4B2A6D4</t>
  </si>
  <si>
    <t>HIDDEN GROUNDS</t>
  </si>
  <si>
    <t>4CCB6087-3EFA-FE34-75AA-0CEC359AD0BC</t>
  </si>
  <si>
    <t>HIWIRE BREWERY</t>
  </si>
  <si>
    <t>13C0A1CC-8933-EA97-DDEA-495334C80138</t>
  </si>
  <si>
    <t>HOBBY LOBBY</t>
  </si>
  <si>
    <t>E4EA08F8-C378-B6D9-A175-989DE79B21A4</t>
  </si>
  <si>
    <t>HOLLYWOOD STAR CARS</t>
  </si>
  <si>
    <t>302C267E-9436-426D-7F72-877365219CCA</t>
  </si>
  <si>
    <t>HOLLYWOOD TACO SHOP</t>
  </si>
  <si>
    <t>45C91E5A-C18E-1212-3996-54E7D133886A</t>
  </si>
  <si>
    <t>HOLY COW</t>
  </si>
  <si>
    <t>59900A68-0F6E-9A5E-7799-CA7229E4050E</t>
  </si>
  <si>
    <t>HOMEGOODS</t>
  </si>
  <si>
    <t>B8BBB507-C8EE-42C0-1713-F8C4EF4257E2</t>
  </si>
  <si>
    <t>HSP WASH</t>
  </si>
  <si>
    <t>54CBB43A-FF4E-7752-07FF-046BDF0B14A5</t>
  </si>
  <si>
    <t>HUNGRY MOTHER STATE PARK</t>
  </si>
  <si>
    <t>4C828469-5FCA-59FB-F1E4-A242CBADA522</t>
  </si>
  <si>
    <t>IKEA</t>
  </si>
  <si>
    <t>61B2D665-5935-5A08-D3F5-303CC65DF6AD</t>
  </si>
  <si>
    <t>INCYCLE BICYCLES</t>
  </si>
  <si>
    <t>CD6F7B56-3FA4-96BB-5DBD-B8293A9F71CA</t>
  </si>
  <si>
    <t>IPSY</t>
  </si>
  <si>
    <t>DD731C39-A3D5-482C-3298-976A27A69FB1</t>
  </si>
  <si>
    <t>IRACING</t>
  </si>
  <si>
    <t>0863F653-BCAA-2734-CF79-01D6D2D73A0E</t>
  </si>
  <si>
    <t>IRS</t>
  </si>
  <si>
    <t>76197A36-29BB-2E59-0A55-70F9E0BDC15B</t>
  </si>
  <si>
    <t>ISLAND CREAMERY</t>
  </si>
  <si>
    <t>26C7D220-B143-5DF7-21E9-9898644DDB0E</t>
  </si>
  <si>
    <t>JAVA DOG COFFEE</t>
  </si>
  <si>
    <t>1258CE03-2A4D-F433-0335-CD3C35019936</t>
  </si>
  <si>
    <t>JAVVY</t>
  </si>
  <si>
    <t>F5ABE8EE-C9F6-05E2-C8F1-58D3D148368B</t>
  </si>
  <si>
    <t>JENIS ICE CREAM</t>
  </si>
  <si>
    <t>D193B8D1-FC4D-DD4B-F3BF-A140CA41A4B7</t>
  </si>
  <si>
    <t>JERSEY MIKES</t>
  </si>
  <si>
    <t>33520B58-79ED-3D76-77D5-7070A86E61C4</t>
  </si>
  <si>
    <t>JIMMY JOHNS</t>
  </si>
  <si>
    <t>FC905607-5EFC-E9C6-C292-5BBF0E90F698</t>
  </si>
  <si>
    <t>JM PRODUCE</t>
  </si>
  <si>
    <t>BE7DEF09-D02A-BE37-B01E-96EE73130195</t>
  </si>
  <si>
    <t>JOCKEY</t>
  </si>
  <si>
    <t>48F61470-3025-742A-B36F-50F63BB1040B</t>
  </si>
  <si>
    <t>JOHN THE GREEK</t>
  </si>
  <si>
    <t>8D624C26-2974-C50D-38EB-4C25E19D7697</t>
  </si>
  <si>
    <t>JOHNS AUTOMOTIVE SERVICE</t>
  </si>
  <si>
    <t>D4E803EB-673A-08D3-E624-1CF297CF3F2F</t>
  </si>
  <si>
    <t>JUBALA</t>
  </si>
  <si>
    <t>807F5DF9-8FFD-7910-E2AA-F87E99E3ED1D</t>
  </si>
  <si>
    <t>KEYCHRON</t>
  </si>
  <si>
    <t>4736A65A-013B-3169-A2CF-F2E1D7CEE832</t>
  </si>
  <si>
    <t>KILWINS</t>
  </si>
  <si>
    <t>4CCDF596-1537-43F0-3237-F7D700AE1774</t>
  </si>
  <si>
    <t>KINGUIN</t>
  </si>
  <si>
    <t>185C064B-69A3-41DC-0563-B5B033FA4EF7</t>
  </si>
  <si>
    <t>KOHLS</t>
  </si>
  <si>
    <t>71C241AA-944F-09CB-1D9C-7ED0FE90BC2C</t>
  </si>
  <si>
    <t>KRISPY KREME</t>
  </si>
  <si>
    <t>A29182EF-55C6-6435-C326-0416E2271D54</t>
  </si>
  <si>
    <t>LAST PASS</t>
  </si>
  <si>
    <t>08F901DB-7854-8B51-A6ED-72FB9D864DB4</t>
  </si>
  <si>
    <t>LE BLEU</t>
  </si>
  <si>
    <t>D86733F9-F60F-B0C0-C94C-B0B4B5D59C78</t>
  </si>
  <si>
    <t>LE NAILS</t>
  </si>
  <si>
    <t>A05F243F-8D22-B8B4-CADA-DE502BE76468</t>
  </si>
  <si>
    <t>LEGO</t>
  </si>
  <si>
    <t>F2B05A04-74A6-AB4C-9DF0-5F98D3B0D0AF</t>
  </si>
  <si>
    <t>LEVITTOWN FORD</t>
  </si>
  <si>
    <t>D6A8C654-2856-0E32-D0D6-A05734D0BE4C</t>
  </si>
  <si>
    <t>LI MING</t>
  </si>
  <si>
    <t>B61A8F1E-4951-1FD7-8DE5-96616C3A1EB5</t>
  </si>
  <si>
    <t>LIDL</t>
  </si>
  <si>
    <t>6ADAA92C-B6A2-9A31-BAD3-719D55ACAE86</t>
  </si>
  <si>
    <t>LODGE</t>
  </si>
  <si>
    <t>7904B7C7-2C0D-B6A4-1C64-A9E597402342</t>
  </si>
  <si>
    <t>LOVES</t>
  </si>
  <si>
    <t>2C7E0717-6579-7C20-DA2E-CB374C8DCFD7</t>
  </si>
  <si>
    <t>LOWES</t>
  </si>
  <si>
    <t>8A752779-98FD-447E-A2E4-6989108BBFCB</t>
  </si>
  <si>
    <t>LUMPYS ICE CREAM</t>
  </si>
  <si>
    <t>127AE652-2E00-819D-57F1-F311D1D720D2</t>
  </si>
  <si>
    <t>LYON FARMS</t>
  </si>
  <si>
    <t>E12D8C85-E9A8-8D58-CD71-FA70F7BB7FDC</t>
  </si>
  <si>
    <t>MACKEYS FERRY</t>
  </si>
  <si>
    <t>65EFC618-4D19-EED3-F933-17C2D6B49534</t>
  </si>
  <si>
    <t>MAMAS PIZZA</t>
  </si>
  <si>
    <t>5F541BC8-B273-4FBB-E1CD-CE3A9EB33C8D</t>
  </si>
  <si>
    <t>MANIFEST PHARMACY</t>
  </si>
  <si>
    <t>DF53B5D1-17CA-92A7-1E9C-89A06153D93F</t>
  </si>
  <si>
    <t>MAPLEVIEW ICE CREAM</t>
  </si>
  <si>
    <t>C2E17716-4A8D-D2FA-373E-8D9654F24C2B</t>
  </si>
  <si>
    <t>MARATHON</t>
  </si>
  <si>
    <t>9646B35B-5B1A-7379-E114-B3A5189F179D</t>
  </si>
  <si>
    <t>MARAUDERS KITCHEN</t>
  </si>
  <si>
    <t>9654C79F-BFDB-2087-1FDB-4BE899773BE3</t>
  </si>
  <si>
    <t>MARCOS</t>
  </si>
  <si>
    <t>1A344A63-C3B7-91D3-1FBE-CCFF516C28B2</t>
  </si>
  <si>
    <t>MARGARITAVILLE ISLAND</t>
  </si>
  <si>
    <t>72C9D1D8-6B32-2046-C50B-1DF98D82287E</t>
  </si>
  <si>
    <t>MARTINSVILLE SPEEDWAY</t>
  </si>
  <si>
    <t>B61BEAEB-4CD2-7F81-04F6-55786B58BFB8</t>
  </si>
  <si>
    <t>MAYBEURY MART</t>
  </si>
  <si>
    <t>B0936741-06EA-074B-0DFE-84244FB88833</t>
  </si>
  <si>
    <t>MCDONALDS</t>
  </si>
  <si>
    <t>ED9DDC49-C909-57E6-BE9F-E5FD0B47F7A4</t>
  </si>
  <si>
    <t>MEZCALITO</t>
  </si>
  <si>
    <t>7925D392-2F7F-CE89-283C-E65E446A01BE</t>
  </si>
  <si>
    <t>MICHAELS</t>
  </si>
  <si>
    <t>D0022EE3-D4EF-218E-6F1D-F63382940E89</t>
  </si>
  <si>
    <t>MICROSOFT</t>
  </si>
  <si>
    <t>B386F66E-AF2F-873C-0B16-770ECF4DE086</t>
  </si>
  <si>
    <t>MOES</t>
  </si>
  <si>
    <t>C6E1B877-FF06-DF13-E68F-01E485DECB9A</t>
  </si>
  <si>
    <t>MONUTS</t>
  </si>
  <si>
    <t>BD3F831B-EFA6-15A4-ACE3-3D1CCD35FF58</t>
  </si>
  <si>
    <t>MOONRAKER TEA SHOP</t>
  </si>
  <si>
    <t>04803541-91E5-B51E-B427-24A43CD70C05</t>
  </si>
  <si>
    <t>MOUNTAIN BEVERAGE</t>
  </si>
  <si>
    <t>993451B2-1BD9-299E-0368-821BCF78C49B</t>
  </si>
  <si>
    <t>MUSHING MUTTS</t>
  </si>
  <si>
    <t>E1A86D87-5F23-706F-E65F-27B39ABD8129</t>
  </si>
  <si>
    <t>MY EYE DOCTOR</t>
  </si>
  <si>
    <t>305156EC-5BED-953A-AF67-3C43B4838AE3</t>
  </si>
  <si>
    <t>MY FATHERS PIZZA</t>
  </si>
  <si>
    <t>17BCC186-E839-CB89-2C27-D0463D6457D5</t>
  </si>
  <si>
    <t>NAGOS INC</t>
  </si>
  <si>
    <t>101CF9AE-A9D5-0195-7871-4C8BF6FBAC86</t>
  </si>
  <si>
    <t>NASCAR</t>
  </si>
  <si>
    <t>70A69DBD-7F8E-E99D-477B-45DF6E7585E3</t>
  </si>
  <si>
    <t>NASCAR SPEED PARK</t>
  </si>
  <si>
    <t>783DEE94-8842-EC4E-A843-475FE682369D</t>
  </si>
  <si>
    <t>NATHAN AND SONS</t>
  </si>
  <si>
    <t>2FF78E3C-BA98-378F-7067-91067ACFAA83</t>
  </si>
  <si>
    <t>NC BATTLESHIP</t>
  </si>
  <si>
    <t>DE3C4506-BE65-38FD-DB73-506D3C25BCA9</t>
  </si>
  <si>
    <t>NC DMV</t>
  </si>
  <si>
    <t>F832941B-1973-AAF3-1DF8-624BEADE9C70</t>
  </si>
  <si>
    <t>NC DOT</t>
  </si>
  <si>
    <t>5DEA9087-CA5E-CA7F-D943-5C660B7CCB73</t>
  </si>
  <si>
    <t>NC STATE FAIR</t>
  </si>
  <si>
    <t>0CFDCA68-C0F8-5AE1-C093-28BCC3294FF9</t>
  </si>
  <si>
    <t>NC WILDLIFE</t>
  </si>
  <si>
    <t>FFF2E084-48CD-5C53-799C-A1DBC484BF26</t>
  </si>
  <si>
    <t>NEW BALANCE</t>
  </si>
  <si>
    <t>81D389B4-9607-EC66-1AB6-314795600F1D</t>
  </si>
  <si>
    <t>NEW HANOVER COUNTY</t>
  </si>
  <si>
    <t>BACD494D-83E7-4F25-7F24-F94F86FC8D78</t>
  </si>
  <si>
    <t>NEWEGG</t>
  </si>
  <si>
    <t>FA792327-3036-4A15-D4D6-4823F1DFC793</t>
  </si>
  <si>
    <t>NINJA KIWI</t>
  </si>
  <si>
    <t>BD7B977F-C52F-6DEF-B882-4D3C900623F9</t>
  </si>
  <si>
    <t>NOAH HARRIS</t>
  </si>
  <si>
    <t>F504DB14-42C1-EDEA-61BD-2CCCCBD89565</t>
  </si>
  <si>
    <t>NOOSA SCOOPS</t>
  </si>
  <si>
    <t>098B2C2C-8040-1BBC-0D1C-AFAE9576BE47</t>
  </si>
  <si>
    <t>NORA CAFE</t>
  </si>
  <si>
    <t>2FB3A1DD-88AE-AF67-5865-5A313CC3918A</t>
  </si>
  <si>
    <t>NORTH ITALIA RAILYARDS</t>
  </si>
  <si>
    <t>64F7BEDA-56F0-93FC-6DC7-0BFAA4375050</t>
  </si>
  <si>
    <t>NOTES COFFEE</t>
  </si>
  <si>
    <t>F5768512-3BBD-150C-F4F0-9B832183A971</t>
  </si>
  <si>
    <t>NOVANT</t>
  </si>
  <si>
    <t>1293EFE9-9BEF-1B72-44DB-8D6D7BC1ACAB</t>
  </si>
  <si>
    <t>OBER MOUNTAIN</t>
  </si>
  <si>
    <t>5CBA805C-9E6B-0F7A-150A-F948DBE88B95</t>
  </si>
  <si>
    <t>OCRACOKE ICE CREAM</t>
  </si>
  <si>
    <t>F44BEB64-F489-28A9-3A40-86C77567F050</t>
  </si>
  <si>
    <t>OKOME</t>
  </si>
  <si>
    <t>C973F81C-55B6-0EB1-BAC6-F335EB86B9A8</t>
  </si>
  <si>
    <t>OLD MECKLENBURG BREWERY</t>
  </si>
  <si>
    <t>1FA89D36-BB89-6314-6ACF-EDD7BF645AB1</t>
  </si>
  <si>
    <t>OLD NAVY</t>
  </si>
  <si>
    <t>3E047BB4-C35E-A808-7745-2B03D428F7D7</t>
  </si>
  <si>
    <t>OLE SMOKEY DISTILLARY</t>
  </si>
  <si>
    <t>39AD6FDA-D1C1-FC14-ED44-369989AA3F4E</t>
  </si>
  <si>
    <t>ONLY BURGER</t>
  </si>
  <si>
    <t>065C6118-ABA4-1132-4E83-1DAF3A5C96B1</t>
  </si>
  <si>
    <t>OOFOS</t>
  </si>
  <si>
    <t>BA6FD29E-FF93-0619-3258-EDBD8DC99D21</t>
  </si>
  <si>
    <t>OPEN AI</t>
  </si>
  <si>
    <t>090AF10F-ABC8-E671-E63D-B5B7C2D41463</t>
  </si>
  <si>
    <t>OUTER BANKS DISTILLING</t>
  </si>
  <si>
    <t>70EAE75B-8046-998A-7224-D07A678F9688</t>
  </si>
  <si>
    <t>OVERSTOCK</t>
  </si>
  <si>
    <t>8F73B38C-EECA-7E8D-DCC6-A1DF18E2CFAD</t>
  </si>
  <si>
    <t>PALMETTO MOON</t>
  </si>
  <si>
    <t>A0C7DD28-6FA0-D66F-9987-219972F350F6</t>
  </si>
  <si>
    <t>PANERA BREAD</t>
  </si>
  <si>
    <t>DDFDD178-D8F6-6C52-25CB-96BF7095F54C</t>
  </si>
  <si>
    <t>PAPA BEAR</t>
  </si>
  <si>
    <t>4095DE74-125E-3692-2A18-4928847385F3</t>
  </si>
  <si>
    <t>PAPA JOHNS</t>
  </si>
  <si>
    <t>1F8A3B12-6BE8-1547-07EC-99C5B2429F54</t>
  </si>
  <si>
    <t>PARAGON THEATERS</t>
  </si>
  <si>
    <t>55E60076-D5D9-A3C5-73C2-4288D1175D84</t>
  </si>
  <si>
    <t>PARKMOBILE</t>
  </si>
  <si>
    <t>C843E0AC-1783-ADA5-B07B-1D70899230AB</t>
  </si>
  <si>
    <t>PAY BY PHONE</t>
  </si>
  <si>
    <t>E544C142-AED4-1D97-FD02-B1582901E218</t>
  </si>
  <si>
    <t>PAYPAL</t>
  </si>
  <si>
    <t>91062035-FFEE-4DA3-B5C0-FB25341111B8</t>
  </si>
  <si>
    <t>PEACHYS</t>
  </si>
  <si>
    <t>298142A5-E17C-ED44-5DCC-250E9C9D67D9</t>
  </si>
  <si>
    <t>PEPSI</t>
  </si>
  <si>
    <t>C0D52E82-5C1D-C10E-0CF9-5B62B2CAECCA</t>
  </si>
  <si>
    <t>PERFECT EYEBROWS</t>
  </si>
  <si>
    <t>13BD19B0-9304-259B-3EA0-9D6793D2A589</t>
  </si>
  <si>
    <t>PERFORMING ARTS RALEIGH</t>
  </si>
  <si>
    <t>840BD806-F54E-3A0B-73A2-D0E78BFFB8F0</t>
  </si>
  <si>
    <t>PONYSAURUS</t>
  </si>
  <si>
    <t>1CB3709A-47A1-1EE6-B3B5-25618C1A5F4F</t>
  </si>
  <si>
    <t>POOLES</t>
  </si>
  <si>
    <t>0D1D2657-FBA7-C1C0-2550-A604D4CE3BFD</t>
  </si>
  <si>
    <t>POSTINO</t>
  </si>
  <si>
    <t>7FF2FFEF-23D7-7096-785A-D0BAD58650A4</t>
  </si>
  <si>
    <t>POTTERY BARN</t>
  </si>
  <si>
    <t>9B2E93CA-E9FF-06B7-E58C-475D360F9466</t>
  </si>
  <si>
    <t>PREFERRED PARKING</t>
  </si>
  <si>
    <t>7A00A624-A7B6-965F-CA2C-8E4F81B53429</t>
  </si>
  <si>
    <t>PUBLIX</t>
  </si>
  <si>
    <t>7A62554E-F76B-F1B6-4DE8-AADF2F44DEA7</t>
  </si>
  <si>
    <t>QUALITY PLUS</t>
  </si>
  <si>
    <t>B102FA8A-3ABA-2231-475F-7AE37E7B4ADE</t>
  </si>
  <si>
    <t>QUARTER NOTE COFFEE</t>
  </si>
  <si>
    <t>D70713BD-28ED-5E54-9F5F-C4FAD7E78C71</t>
  </si>
  <si>
    <t>RACE REACH</t>
  </si>
  <si>
    <t>1D1C52F0-0AFF-A4A4-A1C2-F2DDA3F66E2B</t>
  </si>
  <si>
    <t>RACELAB</t>
  </si>
  <si>
    <t>B737A718-CE30-F664-E014-6832E18AECAD</t>
  </si>
  <si>
    <t>RACETRAC</t>
  </si>
  <si>
    <t>EAC925B1-F175-85AD-0F79-0BBDD420AFD1</t>
  </si>
  <si>
    <t>RACK ROOM</t>
  </si>
  <si>
    <t>FDBBC686-3BD7-D554-2544-9D6A6D6D1D40</t>
  </si>
  <si>
    <t>RALEIGH ENT</t>
  </si>
  <si>
    <t>6F655F00-FC41-1C2D-B5D6-72789BA98E44</t>
  </si>
  <si>
    <t>RANDYS PIZZA</t>
  </si>
  <si>
    <t>4252C4A0-D37D-2476-37FA-B85131BF5E8E</t>
  </si>
  <si>
    <t>RAY BAN</t>
  </si>
  <si>
    <t>94EC7814-2985-9A3E-A1A5-F8FC61094D00</t>
  </si>
  <si>
    <t>RDC MARATHON</t>
  </si>
  <si>
    <t>10A3E52C-9E12-6510-BC2F-ABBBA5070F29</t>
  </si>
  <si>
    <t>REBELLION</t>
  </si>
  <si>
    <t>8801BA52-2B83-F15F-9CB9-2F6DF7FED471</t>
  </si>
  <si>
    <t>RED DRUM GRILL</t>
  </si>
  <si>
    <t>54596776-2B2E-9AC8-7896-2DEF9C49AC0C</t>
  </si>
  <si>
    <t>REFUEL</t>
  </si>
  <si>
    <t>76EFC2BD-F2B5-01A1-B101-2AE4A132B751</t>
  </si>
  <si>
    <t>REI</t>
  </si>
  <si>
    <t>3C8FE83E-F0CE-9116-A970-92CCECF68BB9</t>
  </si>
  <si>
    <t>RENTLY</t>
  </si>
  <si>
    <t>260D3C63-490A-FAF6-7927-17DCF80BA30F</t>
  </si>
  <si>
    <t>REX LAB</t>
  </si>
  <si>
    <t>E7A358F0-8D51-088B-CB11-EFE7A91A0475</t>
  </si>
  <si>
    <t>RISE</t>
  </si>
  <si>
    <t>EFB61528-2B35-6248-27F2-7969993F46E5</t>
  </si>
  <si>
    <t>ROCK AUTO</t>
  </si>
  <si>
    <t>5B9C7862-79E3-923D-6DDC-FEE234BD415B</t>
  </si>
  <si>
    <t>ROCKY RIVER COFFEE</t>
  </si>
  <si>
    <t>4B622716-63A8-CB2B-1BA2-FCAAD3C92BC2</t>
  </si>
  <si>
    <t>ROSECOMB</t>
  </si>
  <si>
    <t>59E22190-049B-D0E2-E16E-147C9EBD5C44</t>
  </si>
  <si>
    <t>ROYAL FARMS</t>
  </si>
  <si>
    <t>FC1BBA1D-7109-C798-4AC1-C979705503CB</t>
  </si>
  <si>
    <t>RUSH HOUR KARTING</t>
  </si>
  <si>
    <t>2BCB0855-5894-5429-5DF7-EDE08B9D9365</t>
  </si>
  <si>
    <t>SAFELITE</t>
  </si>
  <si>
    <t>01E0814E-361B-4B99-B25C-68A2BE0BB5F1</t>
  </si>
  <si>
    <t>SAN JOSE TACOS</t>
  </si>
  <si>
    <t>18FB44F3-16DC-D3BD-F38C-5C3FFB95A2DF</t>
  </si>
  <si>
    <t>SANTILLOS</t>
  </si>
  <si>
    <t>6ADAB3B2-4D30-40F5-EE31-2DCC830CA5C2</t>
  </si>
  <si>
    <t>SCOOTERS COFFEE</t>
  </si>
  <si>
    <t>A49422E5-7ECB-75E3-2C6A-5E1198FF19DD</t>
  </si>
  <si>
    <t>SCOTCH BONNET</t>
  </si>
  <si>
    <t>3F6CAE3C-7F48-C50A-8F05-764988CF05CE</t>
  </si>
  <si>
    <t>SEAGREEN</t>
  </si>
  <si>
    <t>D6D35E03-4250-4BF1-89B7-E0A6ACEC8A87</t>
  </si>
  <si>
    <t>SECU</t>
  </si>
  <si>
    <t>C4DFDE65-2D7D-3394-1BE3-7A430486373D</t>
  </si>
  <si>
    <t>SEPHORA</t>
  </si>
  <si>
    <t>AB49D294-4A9F-1563-F27E-3072778D61A6</t>
  </si>
  <si>
    <t>SEVEN BREW</t>
  </si>
  <si>
    <t>9DBE8C5C-3A6F-D57B-5F07-C6084B1F6663</t>
  </si>
  <si>
    <t>SHEETZ</t>
  </si>
  <si>
    <t>8780D30B-488D-A189-0A07-FB6252CA7258</t>
  </si>
  <si>
    <t>SHELL</t>
  </si>
  <si>
    <t>B368D528-2D89-36CE-F283-3542693A1062</t>
  </si>
  <si>
    <t>SHIEN</t>
  </si>
  <si>
    <t>CD92A646-51BA-049E-F0A8-E5D231CF0188</t>
  </si>
  <si>
    <t>SHIRT SPICE RN</t>
  </si>
  <si>
    <t>25646C17-63E1-439C-AECE-EB5E215FD779</t>
  </si>
  <si>
    <t>SHORTYS HOTDOGS</t>
  </si>
  <si>
    <t>2399523E-1814-175F-7D14-B8B2A1A405F4</t>
  </si>
  <si>
    <t>SIEMENS</t>
  </si>
  <si>
    <t>D6CEEE64-E6CA-D8AB-5F7D-D2278BFA86BA</t>
  </si>
  <si>
    <t>SIMMONS TRUCK</t>
  </si>
  <si>
    <t>E423BAFC-D4F9-369A-53B8-8F9DB95EC323</t>
  </si>
  <si>
    <t>SKIN SENSE</t>
  </si>
  <si>
    <t>E1F9F491-FC01-48C7-A437-3BC70CA2E5F7</t>
  </si>
  <si>
    <t>SKINNY MIXES</t>
  </si>
  <si>
    <t>C18F0C8A-DABA-C7D8-73A0-E9CA59C7B428</t>
  </si>
  <si>
    <t>SKYLIFT</t>
  </si>
  <si>
    <t>474BC9FC-7C36-7EFD-1A89-13C6116B39D6</t>
  </si>
  <si>
    <t>SMART PARK</t>
  </si>
  <si>
    <t>95E5D495-FF22-97EB-137A-2F41C60CEB21</t>
  </si>
  <si>
    <t>SMASHBURGER</t>
  </si>
  <si>
    <t>FB769E31-14E2-31D9-C526-5386449F7821</t>
  </si>
  <si>
    <t>SNAPCHAT</t>
  </si>
  <si>
    <t>23148EE8-AFC7-CC8D-3571-E856E7A4FEC3</t>
  </si>
  <si>
    <t>SNAPPY LUBE</t>
  </si>
  <si>
    <t>F4ED1C6E-F867-F600-BFB2-C0051B0FC9A2</t>
  </si>
  <si>
    <t>SOLA CAFE</t>
  </si>
  <si>
    <t>32B22D0C-CDDB-38EE-E864-E16A7EE4B3F7</t>
  </si>
  <si>
    <t>SOUTH COFFEE</t>
  </si>
  <si>
    <t>754B2AA0-F763-8257-BC52-D66BD819E888</t>
  </si>
  <si>
    <t>SOUTHPOINT HONDA</t>
  </si>
  <si>
    <t>39515E4B-B8FD-ED6D-E03F-2E057F808973</t>
  </si>
  <si>
    <t>SPECTRUM</t>
  </si>
  <si>
    <t>BE5C2263-60C0-DB76-C18E-99CD79BDFCE1</t>
  </si>
  <si>
    <t>SPEEDWAY</t>
  </si>
  <si>
    <t>6AC3BBE5-28A5-D832-FB45-2C4E15FBF2AE</t>
  </si>
  <si>
    <t>SPOTIFY</t>
  </si>
  <si>
    <t>EC2933FF-46C3-E9F5-2142-FFB7089D0589</t>
  </si>
  <si>
    <t>SPROUTS</t>
  </si>
  <si>
    <t>87D349F7-882D-DB75-D157-7627CBB2F943</t>
  </si>
  <si>
    <t>STARBUCKS</t>
  </si>
  <si>
    <t>E1D3FCC2-E78E-50DD-B8DC-27C3BD6E40F5</t>
  </si>
  <si>
    <t>STATE FARM</t>
  </si>
  <si>
    <t>44A5165D-0B6D-9EA0-86C0-3F4A34920721</t>
  </si>
  <si>
    <t>STATE OF NC</t>
  </si>
  <si>
    <t>33893B9F-27A3-F1C3-2A75-1557FE51479D</t>
  </si>
  <si>
    <t>STRONG ARM BAKING</t>
  </si>
  <si>
    <t>54820B10-B543-73E6-6D29-F9C1231A0AB6</t>
  </si>
  <si>
    <t>SUFFOLK PUNCH BREWERY</t>
  </si>
  <si>
    <t>D7A689A6-CAC5-F671-3E34-E09B14DB7FC8</t>
  </si>
  <si>
    <t>SUGARLANDS DISTILLING</t>
  </si>
  <si>
    <t>64E2829A-6950-A1CE-3A2E-7B13E5689ED8</t>
  </si>
  <si>
    <t>SUNGLASSES HUT</t>
  </si>
  <si>
    <t>B66BFE0E-9138-831F-17E3-FCFBE7B9B001</t>
  </si>
  <si>
    <t>SUNLINER DINER</t>
  </si>
  <si>
    <t>3A5F7126-96C9-8984-4D5E-565BE1C675D5</t>
  </si>
  <si>
    <t>SUNRISE BISCUIT</t>
  </si>
  <si>
    <t>731A2340-D49B-3340-C7A1-9E9B223AA85F</t>
  </si>
  <si>
    <t>SUPER ORGANICS</t>
  </si>
  <si>
    <t>CF266D8C-F1C5-2102-C500-9344FE9EC6EF</t>
  </si>
  <si>
    <t>SUPERICA</t>
  </si>
  <si>
    <t>667EA056-33C5-79AF-49D5-C3494139ED54</t>
  </si>
  <si>
    <t>SUSHI IWA</t>
  </si>
  <si>
    <t>543A4826-0703-D4D4-5606-D9F555A1DFC0</t>
  </si>
  <si>
    <t>SWEET FROG</t>
  </si>
  <si>
    <t>BC5AA94F-117C-A3A0-8F88-FD1AEC932B0C</t>
  </si>
  <si>
    <t>SWEET SPOT ICE CREAM</t>
  </si>
  <si>
    <t>455C3FEF-2F88-32BB-CC2B-E03D71E565DA</t>
  </si>
  <si>
    <t>TAP STATION</t>
  </si>
  <si>
    <t>6D4B59BD-9111-B133-E555-E51E6DDF8C94</t>
  </si>
  <si>
    <t>TARGET</t>
  </si>
  <si>
    <t>AD500973-8A79-AD77-508A-A9E2564D013F</t>
  </si>
  <si>
    <t>TAZIKIS</t>
  </si>
  <si>
    <t>51858AD9-B131-C7ED-5B68-003A6EA294A0</t>
  </si>
  <si>
    <t>TENANT BACKGROUND SEARCH</t>
  </si>
  <si>
    <t>6EB849E9-E0B0-F063-7FC3-4CE6609C1BB9</t>
  </si>
  <si>
    <t>TENTANT BACKGROUND CHECK</t>
  </si>
  <si>
    <t>EE88A12C-CBBE-AB45-C0FA-A1D709F32410</t>
  </si>
  <si>
    <t>THE BOOT ROOM</t>
  </si>
  <si>
    <t>F96E8E11-D897-23EF-C62C-FF7F3CE09331</t>
  </si>
  <si>
    <t>THE BREAD TRUCK</t>
  </si>
  <si>
    <t>5958EBCD-1B64-AA90-C1D3-0A8BB7510CB4</t>
  </si>
  <si>
    <t>THE COOKIE HOUSE</t>
  </si>
  <si>
    <t>25A903F5-8C01-F189-2489-4781FFCBD96B</t>
  </si>
  <si>
    <t>THE FEDERAL</t>
  </si>
  <si>
    <t>2D2B7ACB-4A8A-9798-1045-168E34FBC234</t>
  </si>
  <si>
    <t>THE FLYING BISCUIT</t>
  </si>
  <si>
    <t>22B81A2D-DCAB-9858-E4BC-75B044A8D344</t>
  </si>
  <si>
    <t>THE HIBERNIAN</t>
  </si>
  <si>
    <t>DDA77135-747B-9613-3482-997E6AF3FD46</t>
  </si>
  <si>
    <t>THE HIBERNIAN PUB</t>
  </si>
  <si>
    <t>6A39AB8D-C437-758B-AADA-B41649874BF0</t>
  </si>
  <si>
    <t>THE HOME DEPOT</t>
  </si>
  <si>
    <t>0C705BB3-B3F7-4B87-7926-BCE445815193</t>
  </si>
  <si>
    <t>THE MELTING POT</t>
  </si>
  <si>
    <t>9AA8D81A-E97E-A8A2-33DB-06F21D0DB119</t>
  </si>
  <si>
    <t>THE MILKSHAKE FACTORY</t>
  </si>
  <si>
    <t>07D2CCAC-A385-9D7D-F4D0-DFB3AA714549</t>
  </si>
  <si>
    <t>THE PARLOUR</t>
  </si>
  <si>
    <t>E9C14BBF-7C81-3915-E6A7-47136C266F1E</t>
  </si>
  <si>
    <t>THE PRETZEL LADY</t>
  </si>
  <si>
    <t>49422CD4-0BD1-76EB-E9F0-9C766F59DEB1</t>
  </si>
  <si>
    <t>THE REBEL SMOKEHOUSE</t>
  </si>
  <si>
    <t>5AA6C2DD-6552-5B41-6EA9-C4F90139FDD5</t>
  </si>
  <si>
    <t>THE SALTY DOG</t>
  </si>
  <si>
    <t>705B3571-B90A-746F-15FB-B8E053E69294</t>
  </si>
  <si>
    <t>THE SALTY SEAHORSE</t>
  </si>
  <si>
    <t>FCF9576D-6CC9-E2DD-266C-C09F11710714</t>
  </si>
  <si>
    <t>THE WELL COFFEE</t>
  </si>
  <si>
    <t>FFF95C6B-7019-2756-D03F-0BE64E728233</t>
  </si>
  <si>
    <t>TICKET MASTER</t>
  </si>
  <si>
    <t>56702D9A-2255-6490-B04F-B1DFDD1016E9</t>
  </si>
  <si>
    <t>TIDEWATER GRAIN COMPANY</t>
  </si>
  <si>
    <t>B3DC1A94-CCE0-F812-2920-9C3CBA3C4D1D</t>
  </si>
  <si>
    <t>TIMS MINI MART</t>
  </si>
  <si>
    <t>FA20CD46-4A05-1E0D-2736-8F944E694431</t>
  </si>
  <si>
    <t>TJ MAXX</t>
  </si>
  <si>
    <t>0AB3513A-C898-68BC-D1D1-7327DD42FB1D</t>
  </si>
  <si>
    <t>TOBACCO WOOD BREWING</t>
  </si>
  <si>
    <t>8870F01D-279D-FE1C-846D-682AEE372388</t>
  </si>
  <si>
    <t>TONYS PIZZA</t>
  </si>
  <si>
    <t>1E657617-E145-4E16-BB0C-0231E96A11E3</t>
  </si>
  <si>
    <t>TORCHYS TACOS</t>
  </si>
  <si>
    <t>0093F7D9-FA4D-6C20-B86E-E97E0B07661A</t>
  </si>
  <si>
    <t>TOTAL WINE</t>
  </si>
  <si>
    <t>C3115793-0F3D-DCBA-5447-80E23FFA3566</t>
  </si>
  <si>
    <t>TOWN HALL BURGER</t>
  </si>
  <si>
    <t>C9CD9B44-6439-CBC9-3CB2-E1FCBFDF289A</t>
  </si>
  <si>
    <t>TOWN OF DURHAM</t>
  </si>
  <si>
    <t>0AF5ECA2-D024-2C37-1425-DE5F02D68BEB</t>
  </si>
  <si>
    <t>TOWN SCOOP</t>
  </si>
  <si>
    <t>473248BC-1B03-09D1-646E-E95C5D2A1B8F</t>
  </si>
  <si>
    <t>TRADER JOES</t>
  </si>
  <si>
    <t>1AC053BB-BD3D-CDDB-751A-85B2A1BF8457</t>
  </si>
  <si>
    <t>TRIANGLE CINEMAS</t>
  </si>
  <si>
    <t>435DF262-506C-BFA0-D61C-1EF90AF82336</t>
  </si>
  <si>
    <t>TRIANGLE COFFEE HOUSE</t>
  </si>
  <si>
    <t>F34760E0-1F9F-3501-C0F9-D25C37BE456B</t>
  </si>
  <si>
    <t>TROPHY</t>
  </si>
  <si>
    <t>CFD031B6-68DE-7DDF-5A68-D8A4B60F45E2</t>
  </si>
  <si>
    <t>TURBOTAX</t>
  </si>
  <si>
    <t>BB1CA455-15D3-DC33-AFDF-8A97FAEA3D0D</t>
  </si>
  <si>
    <t>TWEETSIE RAILROAD</t>
  </si>
  <si>
    <t>176634B9-5763-3AE5-DE8A-2FB13141CCD4</t>
  </si>
  <si>
    <t>TWO ROOSTERS</t>
  </si>
  <si>
    <t>E7AE9876-1742-5242-AD76-3845869D5614</t>
  </si>
  <si>
    <t>UBER</t>
  </si>
  <si>
    <t>5F72DB20-E9F1-D7B4-EFD5-70ED86C7F7EB</t>
  </si>
  <si>
    <t>UHAUL</t>
  </si>
  <si>
    <t>45A1BDEF-6B09-D129-CA6F-7F3EBCBB0E99</t>
  </si>
  <si>
    <t>ULTA</t>
  </si>
  <si>
    <t>BF1160BB-2CC3-77E3-348D-D3D3AFFBBC53</t>
  </si>
  <si>
    <t>UNCW</t>
  </si>
  <si>
    <t>DD604BF2-3F88-7EE1-695D-AEE4F3CC880D</t>
  </si>
  <si>
    <t>UNDER ARMOR</t>
  </si>
  <si>
    <t>D1E5C883-8E47-2AB7-565C-686C268E2B38</t>
  </si>
  <si>
    <t>UNIFORM DESTINATION</t>
  </si>
  <si>
    <t>8CB6765A-6C30-09F3-1E44-C2DF026F1FE9</t>
  </si>
  <si>
    <t>UNKNOWN</t>
  </si>
  <si>
    <t>10036B69-E773-F24B-CB98-E5EF201D4AA3</t>
  </si>
  <si>
    <t>UPS</t>
  </si>
  <si>
    <t>85AC600E-39BC-E2F1-21D6-6A048FF164DA</t>
  </si>
  <si>
    <t>US WHITEWATER CENTER</t>
  </si>
  <si>
    <t>7C208F0F-FD5C-39C8-AB9E-0917A1D8F819</t>
  </si>
  <si>
    <t>USA</t>
  </si>
  <si>
    <t>5B1283A7-CA58-4873-A95F-DB7063CB4A4D</t>
  </si>
  <si>
    <t>USPS</t>
  </si>
  <si>
    <t>C00ECB75-1944-6C95-9803-21208CF105C7</t>
  </si>
  <si>
    <t>VALERO</t>
  </si>
  <si>
    <t>B061D4AC-A063-4146-1087-3EAFC60B4A85</t>
  </si>
  <si>
    <t>VALVE</t>
  </si>
  <si>
    <t>C6D8CFDE-68F1-7EB4-B885-F232A82EEFD4</t>
  </si>
  <si>
    <t>VENDING MACHINE</t>
  </si>
  <si>
    <t>191C6508-8EF6-7F0E-36EE-AEE87E05BB1A</t>
  </si>
  <si>
    <t>VENMO</t>
  </si>
  <si>
    <t>BB4B4DA0-C4B8-D804-8BCC-175905514EF0</t>
  </si>
  <si>
    <t>VERA BRADLEY</t>
  </si>
  <si>
    <t>BFE81199-4F44-952C-91B0-C568908421C2</t>
  </si>
  <si>
    <t>VICTORY LANE</t>
  </si>
  <si>
    <t>667A2B79-AEF2-E221-CB7C-AD465FF4C15A</t>
  </si>
  <si>
    <t>VICTORY LANE KARTING</t>
  </si>
  <si>
    <t>8488C93D-DB90-C8B9-0965-335FEE212197</t>
  </si>
  <si>
    <t>VIDERI</t>
  </si>
  <si>
    <t>FB6D1DA5-6855-C84B-D78F-249B81B16433</t>
  </si>
  <si>
    <t>WAFFLE HOUSE</t>
  </si>
  <si>
    <t>D3A88CA2-6AF9-C237-2099-8AD200404D0F</t>
  </si>
  <si>
    <t>WAKE COUNTY</t>
  </si>
  <si>
    <t>4C13DE13-AFB5-84EA-CD39-BC0FC0691AC8</t>
  </si>
  <si>
    <t>WAKE FOREST COFFEE COMPANY</t>
  </si>
  <si>
    <t>5E30E533-665F-8549-EB21-5CD5D91B72DA</t>
  </si>
  <si>
    <t>WALGEREENS</t>
  </si>
  <si>
    <t>AEF6D186-10F3-A372-E41A-0200A393C2FF</t>
  </si>
  <si>
    <t>WALGREENS</t>
  </si>
  <si>
    <t>0287B8C6-1A1E-406A-C1BC-D93CCEF21327</t>
  </si>
  <si>
    <t>WALMART</t>
  </si>
  <si>
    <t>F6692734-2713-B490-C79B-C9DA2E0D47C9</t>
  </si>
  <si>
    <t>WALNUT CREEK AMPHITHEATER</t>
  </si>
  <si>
    <t>0541AEB8-B929-C038-E3FB-5CE51B9E7170</t>
  </si>
  <si>
    <t>WAVERIDERS</t>
  </si>
  <si>
    <t>2599F385-55FB-0822-0246-3FCE95AF41DF</t>
  </si>
  <si>
    <t>WAYFAIR</t>
  </si>
  <si>
    <t>66DFAEA0-85A7-C54B-3D20-AA86F67A014E</t>
  </si>
  <si>
    <t>WEGMANS</t>
  </si>
  <si>
    <t>7AC2A1B3-3A38-1F39-FC2B-CEFBBE58E52A</t>
  </si>
  <si>
    <t>WELLS FARGO</t>
  </si>
  <si>
    <t>B6E6E3B5-7FD4-3092-8741-82CDBCC536DE</t>
  </si>
  <si>
    <t>WENDYS</t>
  </si>
  <si>
    <t>6E7FA295-1F6B-B1F3-8F0A-90A3E4C01FE1</t>
  </si>
  <si>
    <t>WHALEBONE</t>
  </si>
  <si>
    <t>503AA69C-3851-AFD3-7433-4B7A21EA5F9D</t>
  </si>
  <si>
    <t>WHISK AND RYE</t>
  </si>
  <si>
    <t>494E564E-70BD-0F8F-4DEE-8427560A740A</t>
  </si>
  <si>
    <t>WHITE STREET BREWING</t>
  </si>
  <si>
    <t>4180D861-1D41-6060-AA38-E8F17303E741</t>
  </si>
  <si>
    <t>WHITE WATER CENTER</t>
  </si>
  <si>
    <t>638405AE-EE03-EF70-D0CE-54503EF2A34D</t>
  </si>
  <si>
    <t>WHITS FROZEN CUSTARD</t>
  </si>
  <si>
    <t>73ADF759-1FE0-B7D8-834C-0DB2B4AE0977</t>
  </si>
  <si>
    <t>WHOLE FOODS</t>
  </si>
  <si>
    <t>93970AFA-2B17-91FE-CE39-9F8832D80526</t>
  </si>
  <si>
    <t>WILLIAMS SONOMA</t>
  </si>
  <si>
    <t>B1F2C9C5-3BF3-2103-B78D-683BCEA6FE67</t>
  </si>
  <si>
    <t>WORLD MARKET</t>
  </si>
  <si>
    <t>522CDFFB-3E09-6F7F-793A-10AAA6FE3234</t>
  </si>
  <si>
    <t>WRIGHT WAY CAR WASH</t>
  </si>
  <si>
    <t>1403D877-BD73-8A4E-0734-F5231A13A336</t>
  </si>
  <si>
    <t>WV DOT</t>
  </si>
  <si>
    <t>CBD2F27A-B93F-561A-E14C-AA8848072B1D</t>
  </si>
  <si>
    <t>ZAXBYS</t>
  </si>
  <si>
    <t>958A4A82-A588-4053-6356-4740511E6D4A</t>
  </si>
  <si>
    <t>WELLS FARGO - CD - 5558</t>
  </si>
  <si>
    <t>8F8F87DB-0CF6-A8E9-956F-FD2F81B6685C</t>
  </si>
  <si>
    <t>ALFONSO LOPEZ</t>
  </si>
  <si>
    <t>CEA18FB9-C7D2-C096-6F6B-93DE6EF246B0</t>
  </si>
  <si>
    <t>BOB HOWARD</t>
  </si>
  <si>
    <t>B5748045-EFB5-8CBB-DE32-76B975588350</t>
  </si>
  <si>
    <t>BRENDA HARRIS</t>
  </si>
  <si>
    <t>0991B5C3-4BBC-F139-8E20-28C3633565D5</t>
  </si>
  <si>
    <t>CLAIRE MILLER</t>
  </si>
  <si>
    <t>E39F5E23-A6D6-4F52-8E4B-72910BF30AFB</t>
  </si>
  <si>
    <t>DAWN DIXON</t>
  </si>
  <si>
    <t>93E93E0B-0B1C-F9C7-90BD-8F7ED283B4F4</t>
  </si>
  <si>
    <t>ELIZABETH SPARROW</t>
  </si>
  <si>
    <t>71A29918-8B66-8C66-8305-B7E5E8872530</t>
  </si>
  <si>
    <t>HANNAH TILANDER</t>
  </si>
  <si>
    <t>39D61B3D-04CF-FE3D-83F0-AD5554F32BA0</t>
  </si>
  <si>
    <t>HUGH PIERCE</t>
  </si>
  <si>
    <t>DE841D4A-CD8C-3AB0-2C04-6F691D177B66</t>
  </si>
  <si>
    <t>MARY MILLER</t>
  </si>
  <si>
    <t>A15A8AA4-CD7B-1559-E3DD-AC97BC00F251</t>
  </si>
  <si>
    <t>MATTHEW WILFORD</t>
  </si>
  <si>
    <t>D87B3D37-CDA7-122A-30AE-5C0416F52B74</t>
  </si>
  <si>
    <t>NATALIE HARRIS</t>
  </si>
  <si>
    <t>0B98D606-945C-7771-F68B-0C297C373E93</t>
  </si>
  <si>
    <t>NICHOLAS WHITMER</t>
  </si>
  <si>
    <t>60FF31F3-844F-87D5-36D3-7126C05ADF12</t>
  </si>
  <si>
    <t>40B6C17C-98E7-482C-BA22-E66603D4173C</t>
  </si>
  <si>
    <t>PIERRE DEWITT</t>
  </si>
  <si>
    <t>31CABFA0-FEE2-1DC4-129C-723FAFD04381</t>
  </si>
  <si>
    <t>RAJIV GURUNG</t>
  </si>
  <si>
    <t>C094EDE8-9E5A-6FE1-99E2-C4367A8A9501</t>
  </si>
  <si>
    <t>AMOCO</t>
  </si>
  <si>
    <t>E803B685-4A76-4E98-9A0F-95EBE71B5141</t>
  </si>
  <si>
    <t>COPPERHEADS CRAFT BURGERS</t>
  </si>
  <si>
    <t>CBB0F51A-B9CF-4739-82EE-C90E4F0E78D3</t>
  </si>
  <si>
    <t>HYPERSYNC</t>
  </si>
  <si>
    <t>E72EFF63-6F4E-4A05-AE8F-0DB3A55202EA</t>
  </si>
  <si>
    <t>LAKEWOOD SOCIAL</t>
  </si>
  <si>
    <t>C28E4B55-5244-4ED6-B8B9-52EA4B488986</t>
  </si>
  <si>
    <t>NORSE BREWING COMPANY</t>
  </si>
  <si>
    <t>DA0FE8FA-B582-479F-9027-4C5AA682DF57</t>
  </si>
  <si>
    <t>PMC</t>
  </si>
  <si>
    <t>E60EBE68-8A06-4C10-A383-CABF1530406C</t>
  </si>
  <si>
    <t>PNC ARENA</t>
  </si>
  <si>
    <t>B0B48BD4-BC47-4A88-A6F0-6F8C19CB3158</t>
  </si>
  <si>
    <t>RALEIGH STREET PARKING</t>
  </si>
  <si>
    <t>F5427CD0-48AE-4CF1-A457-C546F309397F</t>
  </si>
  <si>
    <t>RITUAL BLEND</t>
  </si>
  <si>
    <t>9C30384A-AA30-4B8D-A0D0-1F16DA97F1BE</t>
  </si>
  <si>
    <t>WHITE STREET BREWERY</t>
  </si>
  <si>
    <t>80113C5A-579A-48D9-9E1F-8795FC3DD0AE</t>
  </si>
  <si>
    <t>192.168.0.238</t>
  </si>
  <si>
    <t>CAROLINA BRIDAL</t>
  </si>
  <si>
    <t>1EB24DC6-7086-4228-8736-23954446EDA0</t>
  </si>
  <si>
    <t>COLONY PARK ANIMAL HOSPITAL</t>
  </si>
  <si>
    <t>92DCE5AC-E67D-4295-8CB6-3A1A2AF488C4</t>
  </si>
  <si>
    <t>CRU</t>
  </si>
  <si>
    <t>22EF64F6-406B-4916-986D-CDE3B35B96B2</t>
  </si>
  <si>
    <t>DUKE UNIVERSITY HOSPITAL</t>
  </si>
  <si>
    <t>171C8F80-AC3D-49EF-B5AD-1651C72BC060</t>
  </si>
  <si>
    <t>FEM SUPPLEMENTS</t>
  </si>
  <si>
    <t>64FB7EBE-57D6-439E-932B-ECD50C0B80CC</t>
  </si>
  <si>
    <t>NEW BODY SPA</t>
  </si>
  <si>
    <t>D66BA210-96A9-48EF-9210-70A99CFE6360</t>
  </si>
  <si>
    <t>PETSMART</t>
  </si>
  <si>
    <t>BCD4DC75-998A-40C0-B960-2A28716A906E</t>
  </si>
  <si>
    <t>RALEIGH RAW</t>
  </si>
  <si>
    <t>E9758035-69CA-44F6-B1C6-785A760DB011</t>
  </si>
  <si>
    <t>SHE THRIVE</t>
  </si>
  <si>
    <t>78247CE2-2EC7-4C53-A315-8482AD394404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</si>
</sst>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.00"/>
    <numFmt numFmtId="165" formatCode="yyyy\-mm\-dd\ hh:mm:ss"/>
    <numFmt numFmtId="166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49" fontId="0" fillId="0" borderId="0" xfId="0" applyNumberFormat="1"/>
    <xf numFmtId="165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left" vertical="center"/>
    </xf>
    <xf numFmtId="22" fontId="0" fillId="0" borderId="0" xfId="0" applyNumberFormat="1"/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4" fillId="6" borderId="10" xfId="0" applyNumberFormat="1" applyFont="1" applyFill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/>
    </xf>
    <xf numFmtId="0" fontId="6" fillId="5" borderId="0" xfId="0" applyFont="1" applyFill="1"/>
    <xf numFmtId="0" fontId="6" fillId="2" borderId="0" xfId="0" applyFont="1" applyFill="1"/>
    <xf numFmtId="0" fontId="6" fillId="7" borderId="0" xfId="0" applyFont="1" applyFill="1"/>
    <xf numFmtId="0" fontId="6" fillId="3" borderId="0" xfId="0" applyFont="1" applyFill="1"/>
    <xf numFmtId="0" fontId="6" fillId="8" borderId="0" xfId="0" applyFont="1" applyFill="1"/>
    <xf numFmtId="0" fontId="7" fillId="5" borderId="0" xfId="0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14" fontId="0" fillId="0" borderId="0" xfId="0" applyNumberFormat="1"/>
    <xf numFmtId="22" fontId="0" fillId="0" borderId="0" xfId="0" applyNumberFormat="1" applyAlignment="1">
      <alignment horizontal="center" vertical="center"/>
    </xf>
    <xf numFmtId="0" fontId="7" fillId="5" borderId="0" xfId="0" applyFont="1" applyFill="1" applyAlignment="1">
      <alignment horizontal="right"/>
    </xf>
    <xf numFmtId="0" fontId="6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46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numFmt numFmtId="27" formatCode="m/d/yyyy\ h:mm"/>
    </dxf>
    <dxf>
      <numFmt numFmtId="27" formatCode="m/d/yyyy\ h:mm"/>
    </dxf>
    <dxf>
      <numFmt numFmtId="19" formatCode="m/d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numFmt numFmtId="165" formatCode="yyyy\-mm\-dd\ h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theme="0" tint="-0.14996795556505021"/>
          <bgColor theme="8" tint="0.79998168889431442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TableStyleMedium20 2" pivot="0" count="8" xr9:uid="{A9769421-9C75-4414-9E38-12734325DC8A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secondRowStripe" dxfId="39"/>
      <tableStyleElement type="firstColumn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26894</xdr:colOff>
      <xdr:row>4</xdr:row>
      <xdr:rowOff>0</xdr:rowOff>
    </xdr:from>
    <xdr:to>
      <xdr:col>26</xdr:col>
      <xdr:colOff>0</xdr:colOff>
      <xdr:row>20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BA1EA0-4F75-4074-8C35-D9741A24A82A}"/>
            </a:ext>
          </a:extLst>
        </xdr:cNvPr>
        <xdr:cNvSpPr txBox="1"/>
      </xdr:nvSpPr>
      <xdr:spPr>
        <a:xfrm>
          <a:off x="6818219" y="838200"/>
          <a:ext cx="9726706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#"Appended Query" = Table.Combine({Clean, #"PDF Data (2)"}),</a:t>
          </a:r>
        </a:p>
        <a:p>
          <a:r>
            <a:rPr lang="en-US" sz="1100"/>
            <a:t>    #"Changed Type" = Table.TransformColumnTypes(#"Appended Query",{{"Amount", Currency.Type}}),</a:t>
          </a:r>
        </a:p>
        <a:p>
          <a:r>
            <a:rPr lang="en-US" sz="1100"/>
            <a:t>    #"Invoked Custom Function" = Table.AddColumn(#"Changed Type", "amount", each fxSECUSignFlip([#"+/-"], [Amount])),</a:t>
          </a:r>
        </a:p>
        <a:p>
          <a:r>
            <a:rPr lang="en-US" sz="1100"/>
            <a:t>    #"Replaced Errors" = Table.ReplaceErrorValues(#"Invoked Custom Function", {{"amount", null}}),</a:t>
          </a:r>
        </a:p>
        <a:p>
          <a:r>
            <a:rPr lang="en-US" sz="1100"/>
            <a:t>    #"Removed Columns1" = Table.RemoveColumns(#"Replaced Errors",{"+/-", "Amount"}),</a:t>
          </a:r>
        </a:p>
        <a:p>
          <a:r>
            <a:rPr lang="en-US" sz="1100"/>
            <a:t>    #"Changed Type1" = Table.TransformColumnTypes(#"Removed Columns1",{{"amount", Currency.Type}, {"post_date", type date}}),</a:t>
          </a:r>
        </a:p>
        <a:p>
          <a:r>
            <a:rPr lang="en-US" sz="1100"/>
            <a:t>    #"Filled Down" = Table.FillDown(#"Changed Type1",{"post_date", "amount"}),</a:t>
          </a:r>
        </a:p>
        <a:p>
          <a:r>
            <a:rPr lang="en-US" sz="1100"/>
            <a:t>	Result = fxStringAgg(#"Filled Down", {"post_date", "amount"}, {"desc"}, " "),</a:t>
          </a:r>
        </a:p>
        <a:p>
          <a:r>
            <a:rPr lang="en-US" sz="1100"/>
            <a:t>    #"Invoked Custom Function1" = Table.AddColumn(Result, "description", each fxFormatWhiteSpace([desc_Agg])),</a:t>
          </a:r>
        </a:p>
        <a:p>
          <a:r>
            <a:rPr lang="en-US" sz="1100"/>
            <a:t>    #"Removed Columns2" = Table.RemoveColumns(#"Invoked Custom Function1",{"desc_Agg"}),</a:t>
          </a:r>
        </a:p>
        <a:p>
          <a:r>
            <a:rPr lang="en-US" sz="1100"/>
            <a:t>    #"Invoked Custom Function2" = Table.AddColumn(#"Removed Columns2", "transaction_date", each fxSECUCheckingDateParse([description], 2025, [post_date])),</a:t>
          </a:r>
        </a:p>
        <a:p>
          <a:r>
            <a:rPr lang="en-US" sz="1100"/>
            <a:t>    #"Changed Type2" = Table.TransformColumnTypes(#"Invoked Custom Function2",{{"transaction_date", type datetime}}),</a:t>
          </a:r>
        </a:p>
        <a:p>
          <a:r>
            <a:rPr lang="en-US" sz="1100"/>
            <a:t>    #"Reordered Columns" = Table.ReorderColumns(#"Changed Type2",{"transaction_date", "post_date", "amount", "description"}),</a:t>
          </a:r>
        </a:p>
        <a:p>
          <a:r>
            <a:rPr lang="en-US" sz="1100"/>
            <a:t>    #"Added Custom" = Table.AddColumn(#"Reordered Columns", "reference_number", each ""),</a:t>
          </a:r>
        </a:p>
        <a:p>
          <a:r>
            <a:rPr lang="en-US" sz="1100"/>
            <a:t>    #"Reordered Columns1" = Table.ReorderColumns(#"Added Custom",{"transaction_date", "post_date", "reference_number", "description", "amount"}),</a:t>
          </a:r>
        </a:p>
        <a:p>
          <a:r>
            <a:rPr lang="en-US" sz="1100"/>
            <a:t>    #"Changed Type3" = Table.TransformColumnTypes(#"Reordered Columns1",{{"reference_number", type text}}),</a:t>
          </a:r>
        </a:p>
        <a:p>
          <a:r>
            <a:rPr lang="en-US" sz="1100"/>
            <a:t>    #"Sorted Rows" = Table.Sort(#"Changed Type3",{{"post_date", Order.Ascending}})</a:t>
          </a:r>
        </a:p>
        <a:p>
          <a:r>
            <a:rPr lang="en-US" sz="1100"/>
            <a:t>in</a:t>
          </a:r>
        </a:p>
        <a:p>
          <a:r>
            <a:rPr lang="en-US" sz="1100"/>
            <a:t>    #"Sorted Rows"</a:t>
          </a:r>
        </a:p>
        <a:p>
          <a:endParaRPr lang="en-US" sz="1100"/>
        </a:p>
      </xdr:txBody>
    </xdr:sp>
    <xdr:clientData/>
  </xdr:twoCellAnchor>
  <xdr:twoCellAnchor>
    <xdr:from>
      <xdr:col>10</xdr:col>
      <xdr:colOff>1</xdr:colOff>
      <xdr:row>23</xdr:row>
      <xdr:rowOff>66675</xdr:rowOff>
    </xdr:from>
    <xdr:to>
      <xdr:col>26</xdr:col>
      <xdr:colOff>19051</xdr:colOff>
      <xdr:row>38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09F14C-8B83-F211-952F-4CFA9BD729B8}"/>
            </a:ext>
          </a:extLst>
        </xdr:cNvPr>
        <xdr:cNvSpPr txBox="1"/>
      </xdr:nvSpPr>
      <xdr:spPr>
        <a:xfrm>
          <a:off x="7172326" y="4886325"/>
          <a:ext cx="9772650" cy="325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#"Invoked Custom Function" = Table.AddColumn(END, "fxFlipSign", each fxFlipSign([Additions])),</a:t>
          </a:r>
        </a:p>
        <a:p>
          <a:r>
            <a:rPr lang="en-US" sz="1100"/>
            <a:t>    #"Invoked Custom Function1" = Table.AddColumn(#"Invoked Custom Function", "Amount", each fxIsNull([fxFlipSign], [Subtractions])),</a:t>
          </a:r>
        </a:p>
        <a:p>
          <a:r>
            <a:rPr lang="en-US" sz="1100"/>
            <a:t>    #"Removed Columns" = Table.RemoveColumns(#"Invoked Custom Function1",{"Additions", "Subtractions", "fxFlipSign"}),</a:t>
          </a:r>
        </a:p>
        <a:p>
          <a:r>
            <a:rPr lang="en-US" sz="1100"/>
            <a:t>    #"Invoked Custom Function2" = Table.AddColumn(#"Removed Columns", "fxFormatWhiteSpace", each fxFormatWhiteSpace([Description])),</a:t>
          </a:r>
        </a:p>
        <a:p>
          <a:r>
            <a:rPr lang="en-US" sz="1100"/>
            <a:t>    #"Removed Columns1" = Table.RemoveColumns(#"Invoked Custom Function2",{"Description"}),</a:t>
          </a:r>
        </a:p>
        <a:p>
          <a:r>
            <a:rPr lang="en-US" sz="1100"/>
            <a:t>    #"Invoked Custom Function3" = Table.AddColumn(#"Removed Columns1", "PostDate", each fxAddYear([Date], 2026)),</a:t>
          </a:r>
        </a:p>
        <a:p>
          <a:r>
            <a:rPr lang="en-US" sz="1100"/>
            <a:t>    #"Removed Columns2" = Table.RemoveColumns(#"Invoked Custom Function3",{"Date"}),</a:t>
          </a:r>
        </a:p>
        <a:p>
          <a:r>
            <a:rPr lang="en-US" sz="1100"/>
            <a:t>    #"Changed Type2" = Table.TransformColumnTypes(#"Removed Columns2",{{"PostDate", type date}, {"Amount", Currency.Type}}),</a:t>
          </a:r>
        </a:p>
        <a:p>
          <a:r>
            <a:rPr lang="en-US" sz="1100"/>
            <a:t>    #"Invoked Custom Function4" = Table.AddColumn(#"Changed Type2", "TransactionDate", each fxExtractDateAfterOn([fxFormatWhiteSpace], 2026, [PostDate])),</a:t>
          </a:r>
        </a:p>
        <a:p>
          <a:r>
            <a:rPr lang="en-US" sz="1100"/>
            <a:t>    #"Changed Type3" = Table.TransformColumnTypes(#"Invoked Custom Function4",{{"TransactionDate", type datetime}}),</a:t>
          </a:r>
        </a:p>
        <a:p>
          <a:r>
            <a:rPr lang="en-US" sz="1100"/>
            <a:t>    #"Invoked Custom Function5" = Table.AddColumn(#"Changed Type3", "ReferenceNumber", each fxExtractRefNo([fxFormatWhiteSpace])),</a:t>
          </a:r>
        </a:p>
        <a:p>
          <a:r>
            <a:rPr lang="en-US" sz="1100"/>
            <a:t>    #"Changed Type4" = Table.TransformColumnTypes(#"Invoked Custom Function5",{{"fxFormatWhiteSpace", type text}}),</a:t>
          </a:r>
        </a:p>
        <a:p>
          <a:r>
            <a:rPr lang="en-US" sz="1100"/>
            <a:t>    #"Renamed Columns" = Table.RenameColumns(#"Changed Type4",{{"fxFormatWhiteSpace", "Description"}}),</a:t>
          </a:r>
        </a:p>
        <a:p>
          <a:r>
            <a:rPr lang="en-US" sz="1100"/>
            <a:t>    #"Reordered Columns" = Table.ReorderColumns(#"Renamed Columns",{"PostDate", "TransactionDate", "ReferenceNumber", "Description", "Amount"}),</a:t>
          </a:r>
        </a:p>
        <a:p>
          <a:r>
            <a:rPr lang="en-US" sz="1100"/>
            <a:t>    #"Changed Type5" = Table.TransformColumnTypes(#"Reordered Columns",{{"ReferenceNumber", type text}}),</a:t>
          </a:r>
        </a:p>
        <a:p>
          <a:r>
            <a:rPr lang="en-US" sz="1100"/>
            <a:t>    #"Reordered Columns1" = Table.ReorderColumns(#"Changed Type5",{"TransactionDate", "PostDate", "ReferenceNumber", "Description", "Amount"})</a:t>
          </a:r>
        </a:p>
        <a:p>
          <a:r>
            <a:rPr lang="en-US" sz="1100"/>
            <a:t>in</a:t>
          </a:r>
        </a:p>
        <a:p>
          <a:r>
            <a:rPr lang="en-US" sz="1100"/>
            <a:t>    #"Reordered Columns1"</a:t>
          </a:r>
        </a:p>
      </xdr:txBody>
    </xdr:sp>
    <xdr:clientData/>
  </xdr:twoCellAnchor>
  <xdr:twoCellAnchor>
    <xdr:from>
      <xdr:col>26</xdr:col>
      <xdr:colOff>304800</xdr:colOff>
      <xdr:row>4</xdr:row>
      <xdr:rowOff>47625</xdr:rowOff>
    </xdr:from>
    <xdr:to>
      <xdr:col>44</xdr:col>
      <xdr:colOff>342900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BF3E23-3EF4-E342-FC64-9EE99BA6A341}"/>
            </a:ext>
          </a:extLst>
        </xdr:cNvPr>
        <xdr:cNvSpPr txBox="1"/>
      </xdr:nvSpPr>
      <xdr:spPr>
        <a:xfrm>
          <a:off x="17230725" y="885825"/>
          <a:ext cx="11010900" cy="3209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,</a:t>
          </a:r>
        </a:p>
        <a:p>
          <a:r>
            <a:rPr lang="en-US" sz="1100"/>
            <a:t>    #"Invoked Custom Function" = Table.AddColumn(END, "PostDate", each fxAddYear([Date], 2026)),</a:t>
          </a:r>
        </a:p>
        <a:p>
          <a:r>
            <a:rPr lang="en-US" sz="1100"/>
            <a:t>    #"Changed Type2" = Table.TransformColumnTypes(#"Invoked Custom Function",{{"PostDate", type date}}),</a:t>
          </a:r>
        </a:p>
        <a:p>
          <a:r>
            <a:rPr lang="en-US" sz="1100"/>
            <a:t>    #"Invoked Custom Function1" = Table.AddColumn(#"Changed Type2", "Credit", each fxFlipSign([Additions])),</a:t>
          </a:r>
        </a:p>
        <a:p>
          <a:r>
            <a:rPr lang="en-US" sz="1100"/>
            <a:t>    #"Changed Type3" = Table.TransformColumnTypes(#"Invoked Custom Function1",{{"Credit", Currency.Type}, {"Subtracations", Currency.Type}}),</a:t>
          </a:r>
        </a:p>
        <a:p>
          <a:r>
            <a:rPr lang="en-US" sz="1100"/>
            <a:t>    #"Invoked Custom Function2" = Table.AddColumn(#"Changed Type3", "Amount", each fxIsNull([Subtracations], [Credit])),</a:t>
          </a:r>
        </a:p>
        <a:p>
          <a:r>
            <a:rPr lang="en-US" sz="1100"/>
            <a:t>    #"Changed Type4" = Table.TransformColumnTypes(#"Invoked Custom Function2",{{"Amount", Currency.Type}}),</a:t>
          </a:r>
        </a:p>
        <a:p>
          <a:r>
            <a:rPr lang="en-US" sz="1100"/>
            <a:t>    #"Removed Columns1" = Table.RemoveColumns(#"Changed Type4",{"Additions", "Subtracations", "Credit", "Date"}),</a:t>
          </a:r>
        </a:p>
        <a:p>
          <a:r>
            <a:rPr lang="en-US" sz="1100"/>
            <a:t>    #"Invoked Custom Function3" = Table.AddColumn(#"Removed Columns1", "fxFormatWhiteSpace", each fxFormatWhiteSpace([Description])),</a:t>
          </a:r>
        </a:p>
        <a:p>
          <a:r>
            <a:rPr lang="en-US" sz="1100"/>
            <a:t>    #"Removed Columns2" = Table.RemoveColumns(#"Invoked Custom Function3",{"Description"}),</a:t>
          </a:r>
        </a:p>
        <a:p>
          <a:r>
            <a:rPr lang="en-US" sz="1100"/>
            <a:t>    #"Invoked Custom Function4" = Table.AddColumn(#"Removed Columns2", "TransactionDate", each fxExtractDateAfterOn([fxFormatWhiteSpace], 2026, [PostDate])),</a:t>
          </a:r>
        </a:p>
        <a:p>
          <a:r>
            <a:rPr lang="en-US" sz="1100"/>
            <a:t>    #"Changed Type5" = Table.TransformColumnTypes(#"Invoked Custom Function4",{{"TransactionDate", type datetime}}),</a:t>
          </a:r>
        </a:p>
        <a:p>
          <a:r>
            <a:rPr lang="en-US" sz="1100"/>
            <a:t>    #"Reordered Columns" = Table.ReorderColumns(#"Changed Type5",{"TransactionDate", "PostDate", "Amount", "fxFormatWhiteSpace"}),</a:t>
          </a:r>
        </a:p>
        <a:p>
          <a:r>
            <a:rPr lang="en-US" sz="1100"/>
            <a:t>    #"Invoked Custom Function5" = Table.AddColumn(#"Reordered Columns", "ReferenceNumber", each fxExtractRefNo([fxFormatWhiteSpace])),</a:t>
          </a:r>
        </a:p>
        <a:p>
          <a:r>
            <a:rPr lang="en-US" sz="1100"/>
            <a:t>    #"Reordered Columns1" = Table.ReorderColumns(#"Invoked Custom Function5",{"TransactionDate", "PostDate", "ReferenceNumber", "fxFormatWhiteSpace", "Amount"}),</a:t>
          </a:r>
        </a:p>
        <a:p>
          <a:r>
            <a:rPr lang="en-US" sz="1100"/>
            <a:t>    #"Renamed Columns" = Table.RenameColumns(#"Reordered Columns1",{{"fxFormatWhiteSpace", "Description"}})</a:t>
          </a:r>
        </a:p>
        <a:p>
          <a:r>
            <a:rPr lang="en-US" sz="1100"/>
            <a:t>in</a:t>
          </a:r>
        </a:p>
        <a:p>
          <a:r>
            <a:rPr lang="en-US" sz="1100"/>
            <a:t>    #"Renamed Columns"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2" xr16:uid="{EF978D21-2289-49B4-89D7-1325E67CDBF8}" autoFormatId="16" applyNumberFormats="0" applyBorderFormats="0" applyFontFormats="0" applyPatternFormats="0" applyAlignmentFormats="0" applyWidthHeightFormats="0">
  <queryTableRefresh preserveSortFilterLayout="0" nextId="7">
    <queryTableFields count="6">
      <queryTableField id="1" name="AccountId" tableColumnId="1"/>
      <queryTableField id="2" name="StatementDate" tableColumnId="2"/>
      <queryTableField id="3" name="StartDate" tableColumnId="3"/>
      <queryTableField id="4" name="EndDate" tableColumnId="4"/>
      <queryTableField id="5" name="StartBalance" tableColumnId="5"/>
      <queryTableField id="6" name="EndBalan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20" xr16:uid="{5618DDD3-E82A-478E-85A9-92E97B85454F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MethodId" tableColumnId="1"/>
      <queryTableField id="2" name="PayeeId" tableColumnId="2"/>
      <queryTableField id="3" name="TransactionDate" tableColumnId="3"/>
      <queryTableField id="4" name="PostDate" tableColumnId="4"/>
      <queryTableField id="5" name="ReferenceNumber" tableColumnId="5"/>
      <queryTableField id="6" name="Amount" tableColumnId="6"/>
      <queryTableField id="7" name="Description" tableColumnId="7"/>
      <queryTableField id="8" name="StatementDate" tableColumnId="8"/>
      <queryTableField id="9" name="AccountI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18" xr16:uid="{13752BDA-6C00-4A8B-B162-B1542709847B}" autoFormatId="16" applyNumberFormats="0" applyBorderFormats="0" applyFontFormats="0" applyPatternFormats="0" applyAlignmentFormats="0" applyWidthHeightFormats="0">
  <queryTableRefresh nextId="8">
    <queryTableFields count="3">
      <queryTableField id="5" name="Name" tableColumnId="5"/>
      <queryTableField id="6" name="Kind" tableColumnId="6"/>
      <queryTableField id="7" name="Dat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1D4E603F-AE22-4953-85EF-D8659BB3FE46}" autoFormatId="16" applyNumberFormats="0" applyBorderFormats="0" applyFontFormats="0" applyPatternFormats="0" applyAlignmentFormats="0" applyWidthHeightFormats="0">
  <queryTableRefresh nextId="23">
    <queryTableFields count="18">
      <queryTableField id="1" name="AccountId" tableColumnId="1"/>
      <queryTableField id="14" name="StatementId" tableColumnId="14"/>
      <queryTableField id="2" name="StatementDate" tableColumnId="2"/>
      <queryTableField id="3" name="StartDate" tableColumnId="3"/>
      <queryTableField id="4" name="EndDate" tableColumnId="4"/>
      <queryTableField id="5" name="StartBalance" tableColumnId="5"/>
      <queryTableField id="6" name="EndBalance" tableColumnId="6"/>
      <queryTableField id="15" name="StatementImageId" tableColumnId="15"/>
      <queryTableField id="16" name="StatementItemId" tableColumnId="16"/>
      <queryTableField id="7" name="MethodId" tableColumnId="7"/>
      <queryTableField id="8" name="PayeeId" tableColumnId="8"/>
      <queryTableField id="17" name="InvoiceId" tableColumnId="17"/>
      <queryTableField id="9" name="TransactionDate" tableColumnId="9"/>
      <queryTableField id="10" name="PostDate" tableColumnId="10"/>
      <queryTableField id="11" name="ReferenceNumber" tableColumnId="11"/>
      <queryTableField id="12" name="Amount" tableColumnId="12"/>
      <queryTableField id="13" name="Description" tableColumnId="13"/>
      <queryTableField id="18" name="StatementItemImageId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" xr16:uid="{A07725CD-BEB4-4A61-96B4-96D95443E9F7}" autoFormatId="16" applyNumberFormats="0" applyBorderFormats="0" applyFontFormats="0" applyPatternFormats="0" applyAlignmentFormats="0" applyWidthHeightFormats="0">
  <queryTableRefresh nextId="3">
    <queryTableFields count="2">
      <queryTableField id="1" name="account" tableColumnId="1"/>
      <queryTableField id="2" name="AccountId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refreshOnLoad="1" connectionId="17" xr16:uid="{08681080-10EB-4D57-B9FE-60F90A2B02AD}" autoFormatId="16" applyNumberFormats="0" applyBorderFormats="0" applyFontFormats="0" applyPatternFormats="0" applyAlignmentFormats="0" applyWidthHeightFormats="0">
  <queryTableRefresh nextId="4">
    <queryTableFields count="2">
      <queryTableField id="2" name="PayeeName" tableColumnId="1"/>
      <queryTableField id="3" name="PayeeI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16" xr16:uid="{AAA3F941-3AE6-4144-BE9E-863D5EC17E4A}" autoFormatId="16" applyNumberFormats="0" applyBorderFormats="0" applyFontFormats="0" applyPatternFormats="0" applyAlignmentFormats="0" applyWidthHeightFormats="0">
  <queryTableRefresh nextId="5">
    <queryTableFields count="4">
      <queryTableField id="1" name="account" tableColumnId="1"/>
      <queryTableField id="2" name="method" tableColumnId="2"/>
      <queryTableField id="3" name="AccountId" tableColumnId="3"/>
      <queryTableField id="4" name="MethodId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25" xr16:uid="{F0FF1054-63D9-4D37-AADA-F5D6DF8757EC}" autoFormatId="16" applyNumberFormats="0" applyBorderFormats="0" applyFontFormats="0" applyPatternFormats="0" applyAlignmentFormats="0" applyWidthHeightFormats="0">
  <queryTableRefresh nextId="13">
    <queryTableFields count="6">
      <queryTableField id="7" name="AccountDisplayName" tableColumnId="1"/>
      <queryTableField id="8" name="StatementDate" tableColumnId="2"/>
      <queryTableField id="9" name="StartDate" tableColumnId="3"/>
      <queryTableField id="10" name="EndDate" tableColumnId="4"/>
      <queryTableField id="11" name="StartBalance" tableColumnId="5"/>
      <queryTableField id="12" name="EndBalance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3E222-7D3B-4784-B2DD-9408A7226BDA}" name="STATEMENT_DATA" displayName="STATEMENT_DATA" ref="A5:I505" totalsRowShown="0" headerRowDxfId="37" dataDxfId="36">
  <autoFilter ref="A5:I505" xr:uid="{DEC3E222-7D3B-4784-B2DD-9408A7226BDA}"/>
  <tableColumns count="9">
    <tableColumn id="1" xr3:uid="{A7771CE9-E8CF-4716-A449-7BB3E993FED7}" name="ACCOUNT" dataDxfId="35">
      <calculatedColumnFormula>IF($A$2=0,"Please select an account",$A$2)</calculatedColumnFormula>
    </tableColumn>
    <tableColumn id="2" xr3:uid="{56D00888-C78C-4ADB-AA95-DBBF9F3B9A09}" name="STATEMENT DATE" dataDxfId="34">
      <calculatedColumnFormula>IF(TEXT($B$2,"YYYY-MM-DD")&lt;&gt;"1900-01-00",TEXT($B$2,"YYYY-MM-DD"),"Please enter a date")</calculatedColumnFormula>
    </tableColumn>
    <tableColumn id="3" xr3:uid="{2978D370-F47B-49AB-8627-5E5C6860787C}" name="TRANSACTION DATE" dataDxfId="33"/>
    <tableColumn id="4" xr3:uid="{C9BD85A8-B179-45F9-B91E-09E7E8E36802}" name="POST DATE" dataDxfId="32"/>
    <tableColumn id="5" xr3:uid="{CDA44B37-E2BE-4D71-8C11-E916DCEA5B83}" name="REFERENCE NUMBER" dataDxfId="31"/>
    <tableColumn id="6" xr3:uid="{903BAC73-92BA-430F-9942-2A2BB4DE5F88}" name="DESCRIPTION" dataDxfId="30"/>
    <tableColumn id="7" xr3:uid="{53F700DC-C606-4F58-87D2-23E67F64D3D5}" name="AMOUNT" dataDxfId="29"/>
    <tableColumn id="8" xr3:uid="{36810008-A7BE-4377-870E-34393D9F15AA}" name="PAYEE" dataDxfId="28"/>
    <tableColumn id="9" xr3:uid="{D871D618-9ABC-4B51-9F73-25B23C0CA2AB}" name="METHOD" dataDxfId="27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7362E8-805B-4607-826B-46C614532BA1}" name="STATEMENT_OUTPUT_VIEW" displayName="STATEMENT_OUTPUT_VIEW" ref="K5:P6" tableType="queryTable" totalsRowShown="0" headerRowDxfId="26" dataDxfId="25">
  <autoFilter ref="K5:P6" xr:uid="{6B7362E8-805B-4607-826B-46C614532BA1}"/>
  <tableColumns count="6">
    <tableColumn id="1" xr3:uid="{452E3334-82D5-4BEF-9689-14BEA1F31CEF}" uniqueName="1" name="AccountId" queryTableFieldId="1" dataDxfId="13"/>
    <tableColumn id="2" xr3:uid="{DA8CB0EA-E20A-4551-B0E8-EC7CA372FDE5}" uniqueName="2" name="StatementDate" queryTableFieldId="2" dataDxfId="12"/>
    <tableColumn id="3" xr3:uid="{D072A4A2-74B2-4D42-BD45-D8928A3C7740}" uniqueName="3" name="StartDate" queryTableFieldId="3" dataDxfId="11"/>
    <tableColumn id="4" xr3:uid="{C3E955BB-E831-401E-9B1C-6E5C21D50A75}" uniqueName="4" name="EndDate" queryTableFieldId="4" dataDxfId="10"/>
    <tableColumn id="5" xr3:uid="{F92117F5-1E0A-4810-A70B-DAD1BA80BE64}" uniqueName="5" name="StartBalance" queryTableFieldId="5" dataDxfId="9"/>
    <tableColumn id="6" xr3:uid="{F8F6F802-CBB9-4C14-86E6-715D398AF5B0}" uniqueName="6" name="EndBalance" queryTableFieldId="6" dataDxfId="8"/>
  </tableColumns>
  <tableStyleInfo name="TableStyleMedium20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5A51E9-5210-46BE-947C-FD9CA5D1F45E}" name="STATEMENT_ITEM_OUTPUT_VIEW" displayName="STATEMENT_ITEM_OUTPUT_VIEW" ref="K8:S9" tableType="queryTable" insertRow="1" totalsRowShown="0" headerRowDxfId="24" dataDxfId="23">
  <autoFilter ref="K8:S9" xr:uid="{485A51E9-5210-46BE-947C-FD9CA5D1F45E}"/>
  <tableColumns count="9">
    <tableColumn id="1" xr3:uid="{56235775-65E8-4CFE-B507-7D9CD41E4445}" uniqueName="1" name="MethodId" queryTableFieldId="1" dataDxfId="22"/>
    <tableColumn id="2" xr3:uid="{40D0462A-62C1-4127-971F-1A108580C32E}" uniqueName="2" name="PayeeId" queryTableFieldId="2" dataDxfId="21"/>
    <tableColumn id="3" xr3:uid="{F125D0D2-3F61-4F11-B963-F1ED23CC09B4}" uniqueName="3" name="TransactionDate" queryTableFieldId="3" dataDxfId="20"/>
    <tableColumn id="4" xr3:uid="{CD5491B9-8B8B-4A4E-A34E-D8585FA74503}" uniqueName="4" name="PostDate" queryTableFieldId="4" dataDxfId="19"/>
    <tableColumn id="5" xr3:uid="{55C227EB-E738-48A2-AEB8-B388B43A2A25}" uniqueName="5" name="ReferenceNumber" queryTableFieldId="5" dataDxfId="18"/>
    <tableColumn id="6" xr3:uid="{7A533D52-3411-4E0B-899F-FEE0B4A3ABFF}" uniqueName="6" name="Amount" queryTableFieldId="6" dataDxfId="17"/>
    <tableColumn id="7" xr3:uid="{BDC0338B-33BD-4A21-B872-AFA590D2081F}" uniqueName="7" name="Description" queryTableFieldId="7" dataDxfId="16"/>
    <tableColumn id="8" xr3:uid="{4B61BD99-1883-4A16-8442-188B54F6F882}" uniqueName="8" name="StatementDate" queryTableFieldId="8" dataDxfId="15"/>
    <tableColumn id="9" xr3:uid="{39C0EA38-3599-40EB-91A9-93FE647EAAE5}" uniqueName="9" name="AccountId" queryTableFieldId="9" dataDxfId="14"/>
  </tableColumns>
  <tableStyleInfo name="TableStyleMedium20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59D2BF-9C78-4441-8476-F6C6DB9EE5BC}" name="PDF_Data" displayName="PDF_Data" ref="A1:C2" tableType="queryTable" insertRow="1" totalsRowShown="0">
  <autoFilter ref="A1:C2" xr:uid="{A859D2BF-9C78-4441-8476-F6C6DB9EE5BC}"/>
  <tableColumns count="3">
    <tableColumn id="5" xr3:uid="{DF0654D3-53EC-41B1-B146-CCE3903BD75E}" uniqueName="5" name="Name" queryTableFieldId="5"/>
    <tableColumn id="6" xr3:uid="{A0C31492-7C3B-4AE0-AD96-5D3BE2AFA28A}" uniqueName="6" name="Kind" queryTableFieldId="6"/>
    <tableColumn id="7" xr3:uid="{F16F1564-C975-4790-AC44-8233ADADC280}" uniqueName="7" name="Data" queryTableFieldId="7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1F4D96-428B-4C50-AB68-C0EBB200B332}" name="STATEMENT_STATEMENT_ITEM_OUTPUT" displayName="STATEMENT_STATEMENT_ITEM_OUTPUT" ref="A1:R2" tableType="queryTable" insertRow="1" totalsRowShown="0">
  <autoFilter ref="A1:R2" xr:uid="{071F4D96-428B-4C50-AB68-C0EBB200B332}">
    <filterColumn colId="0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9" hiddenButton="1"/>
    <filterColumn colId="10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8">
    <tableColumn id="1" xr3:uid="{135F7B31-5742-4049-9397-1D90D402CA57}" uniqueName="1" name="AccountId" queryTableFieldId="1"/>
    <tableColumn id="14" xr3:uid="{B2D47A9A-3830-49A4-8A28-DBFF99B8AAD1}" uniqueName="14" name="StatementId" queryTableFieldId="14"/>
    <tableColumn id="2" xr3:uid="{658E89BE-31E9-48E2-A301-4A75D96BF610}" uniqueName="2" name="StatementDate" queryTableFieldId="2" dataDxfId="7"/>
    <tableColumn id="3" xr3:uid="{3FB9DAFE-FA81-4496-B059-1BFDBC0BDA48}" uniqueName="3" name="StartDate" queryTableFieldId="3" dataDxfId="6"/>
    <tableColumn id="4" xr3:uid="{225D0E7C-01AB-4B7C-8648-DE8F518A4D68}" uniqueName="4" name="EndDate" queryTableFieldId="4" dataDxfId="5"/>
    <tableColumn id="5" xr3:uid="{BDE66DE1-2621-45F1-BD8C-40C672164DA1}" uniqueName="5" name="StartBalance" queryTableFieldId="5"/>
    <tableColumn id="6" xr3:uid="{213C3F27-E3B5-4521-BC82-D034B0D78D7A}" uniqueName="6" name="EndBalance" queryTableFieldId="6"/>
    <tableColumn id="15" xr3:uid="{0CD4B208-5A77-463E-8013-44CECF0E7D96}" uniqueName="15" name="StatementImageId" queryTableFieldId="15"/>
    <tableColumn id="16" xr3:uid="{6E456D99-43C7-4753-85CC-524AC28D59A8}" uniqueName="16" name="StatementItemId" queryTableFieldId="16"/>
    <tableColumn id="7" xr3:uid="{5435CF06-1B4F-4CF2-BBD7-8D6A010D56B5}" uniqueName="7" name="MethodId" queryTableFieldId="7"/>
    <tableColumn id="8" xr3:uid="{1A34298D-9065-455B-BCAE-0E1BB0D257E5}" uniqueName="8" name="PayeeId" queryTableFieldId="8"/>
    <tableColumn id="17" xr3:uid="{A356EBE1-0336-4B10-B93F-291F0C6B2A24}" uniqueName="17" name="InvoiceId" queryTableFieldId="17"/>
    <tableColumn id="9" xr3:uid="{B2BEFE28-67C5-4907-8ED8-952307A9F61A}" uniqueName="9" name="TransactionDate" queryTableFieldId="9"/>
    <tableColumn id="10" xr3:uid="{63C8418F-768F-4A7C-A3A3-CA19E9C88171}" uniqueName="10" name="PostDate" queryTableFieldId="10"/>
    <tableColumn id="11" xr3:uid="{D63C055D-EBD9-42E6-8D90-42CE6E5E5FA6}" uniqueName="11" name="ReferenceNumber" queryTableFieldId="11"/>
    <tableColumn id="12" xr3:uid="{6FBECE99-C826-4082-AE89-4BAAD2717B35}" uniqueName="12" name="Amount" queryTableFieldId="12"/>
    <tableColumn id="13" xr3:uid="{C36129DE-5A83-41DA-814F-8D1BE45666D1}" uniqueName="13" name="Description" queryTableFieldId="13"/>
    <tableColumn id="18" xr3:uid="{D4BD8E5C-1480-4EB0-803C-C11EBFB0F8E9}" uniqueName="18" name="StatementItemImageId" queryTableFieldId="18"/>
  </tableColumns>
  <tableStyleInfo name="TableStyleMedium20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EFE44-33FF-4DA5-A195-18E935F5D8C4}" name="ACCOUNTS" displayName="ACCOUNTS" ref="A1:B14" tableType="queryTable" totalsRowShown="0">
  <autoFilter ref="A1:B14" xr:uid="{F64EFE44-33FF-4DA5-A195-18E935F5D8C4}"/>
  <tableColumns count="2">
    <tableColumn id="1" xr3:uid="{7660B82A-2991-45CD-97DF-CB0C9B219CD8}" uniqueName="1" name="Account" queryTableFieldId="1"/>
    <tableColumn id="2" xr3:uid="{680366FF-6A9B-4B82-9F77-488D20ECD1C1}" uniqueName="2" name="AccountI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341839-8656-4340-8063-B4FAFDBF8BCD}" name="PAYEES" displayName="PAYEES" ref="J1:K496" tableType="queryTable" totalsRowShown="0">
  <autoFilter ref="J1:K496" xr:uid="{A7341839-8656-4340-8063-B4FAFDBF8BCD}"/>
  <tableColumns count="2">
    <tableColumn id="1" xr3:uid="{224CB45A-5E03-456C-9BAF-0ADD78AF5A0B}" uniqueName="1" name="PayeeName" queryTableFieldId="2"/>
    <tableColumn id="2" xr3:uid="{D75ADAEA-E1B9-4038-9AC5-7E673D006460}" uniqueName="2" name="PayeeId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4D295A-BAA4-4613-BAEB-E75814612C12}" name="METHODS" displayName="METHODS" ref="D1:G48" tableType="queryTable" totalsRowShown="0">
  <autoFilter ref="D1:G48" xr:uid="{E94D295A-BAA4-4613-BAEB-E75814612C12}"/>
  <tableColumns count="4">
    <tableColumn id="1" xr3:uid="{F3B9E3C3-A6B5-4711-A020-538253E428E9}" uniqueName="1" name="Account" queryTableFieldId="1"/>
    <tableColumn id="2" xr3:uid="{B7CDBC21-4F78-4F87-AA6C-4AEC82B847CD}" uniqueName="2" name="Method" queryTableFieldId="2"/>
    <tableColumn id="3" xr3:uid="{1FE362EC-2413-474E-98BA-34AC6ED65DEA}" uniqueName="3" name="AccountId" queryTableFieldId="3"/>
    <tableColumn id="4" xr3:uid="{88DB28A6-BF94-4543-9967-E9A4ADC045B5}" uniqueName="4" name="MethodId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B675CD-F00A-41F8-A57B-7166065F11D6}" name="Statements" displayName="Statements" ref="R1:W174" tableType="queryTable" totalsRowShown="0">
  <autoFilter ref="R1:W174" xr:uid="{AFB675CD-F00A-41F8-A57B-7166065F11D6}"/>
  <tableColumns count="6">
    <tableColumn id="1" xr3:uid="{34614503-A3FF-4A0F-9BC7-A6A845BAC15D}" uniqueName="1" name="AccountDisplayName" queryTableFieldId="7"/>
    <tableColumn id="2" xr3:uid="{6B617316-AE25-4BCE-9083-EB63DDC5D8F5}" uniqueName="2" name="StatementDate" queryTableFieldId="8" dataDxfId="2"/>
    <tableColumn id="3" xr3:uid="{DC4B79EC-B266-4EEC-A26D-3AF1D550926A}" uniqueName="3" name="StartDate" queryTableFieldId="9" dataDxfId="1"/>
    <tableColumn id="4" xr3:uid="{DE08E1D3-D5AC-4425-9C1B-42900CC40519}" uniqueName="4" name="EndDate" queryTableFieldId="10" dataDxfId="0"/>
    <tableColumn id="5" xr3:uid="{A4A3BA49-E5BB-48DE-89DE-1677E7E73FAC}" uniqueName="5" name="StartBalance" queryTableFieldId="11"/>
    <tableColumn id="6" xr3:uid="{6EC82ED7-F0C0-4291-9A96-B8442D9EF364}" uniqueName="6" name="EndBalan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F398-E762-481A-8E1D-941211CBBC58}">
  <sheetPr>
    <tabColor theme="1"/>
  </sheetPr>
  <dimension ref="A1:AB23"/>
  <sheetViews>
    <sheetView tabSelected="1" workbookViewId="0"/>
  </sheetViews>
  <sheetFormatPr defaultRowHeight="16.5" x14ac:dyDescent="0.3"/>
  <cols>
    <col min="1" max="1" width="19.5703125" style="32" bestFit="1" customWidth="1"/>
    <col min="2" max="2" width="14.85546875" style="32" bestFit="1" customWidth="1"/>
    <col min="3" max="16384" width="9.140625" style="32"/>
  </cols>
  <sheetData>
    <row r="1" spans="1:28" x14ac:dyDescent="0.3">
      <c r="A1" s="37" t="s">
        <v>46</v>
      </c>
    </row>
    <row r="3" spans="1:28" x14ac:dyDescent="0.3">
      <c r="A3" s="37" t="s">
        <v>47</v>
      </c>
      <c r="K3" s="37" t="s">
        <v>51</v>
      </c>
    </row>
    <row r="4" spans="1:28" x14ac:dyDescent="0.3">
      <c r="A4" s="33"/>
      <c r="B4" s="34"/>
      <c r="C4" s="32" t="s">
        <v>48</v>
      </c>
      <c r="K4" s="39" t="s">
        <v>52</v>
      </c>
      <c r="AB4" s="38" t="s">
        <v>54</v>
      </c>
    </row>
    <row r="5" spans="1:28" x14ac:dyDescent="0.3">
      <c r="A5" s="35"/>
      <c r="B5" s="35"/>
      <c r="C5" s="32" t="s">
        <v>49</v>
      </c>
    </row>
    <row r="6" spans="1:28" x14ac:dyDescent="0.3">
      <c r="A6" s="36"/>
      <c r="B6" s="36"/>
      <c r="C6" s="32" t="s">
        <v>50</v>
      </c>
    </row>
    <row r="9" spans="1:28" x14ac:dyDescent="0.3">
      <c r="A9" s="42" t="s">
        <v>61</v>
      </c>
      <c r="B9" s="43" t="s">
        <v>1103</v>
      </c>
    </row>
    <row r="10" spans="1:28" x14ac:dyDescent="0.3">
      <c r="A10" s="42" t="s">
        <v>62</v>
      </c>
      <c r="B10" s="43">
        <v>1434</v>
      </c>
    </row>
    <row r="11" spans="1:28" x14ac:dyDescent="0.3">
      <c r="A11" s="42" t="s">
        <v>63</v>
      </c>
      <c r="B11" s="43" t="s">
        <v>60</v>
      </c>
    </row>
    <row r="23" spans="11:11" x14ac:dyDescent="0.3">
      <c r="K23" s="38" t="s">
        <v>53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95DA-E16C-4D57-BF17-6EB8D816ECD2}">
  <sheetPr>
    <tabColor theme="1"/>
  </sheetPr>
  <dimension ref="A1:AI505"/>
  <sheetViews>
    <sheetView zoomScale="85" zoomScaleNormal="85" workbookViewId="0">
      <pane ySplit="5" topLeftCell="A6" activePane="bottomLeft" state="frozen"/>
      <selection pane="bottomLeft"/>
    </sheetView>
  </sheetViews>
  <sheetFormatPr defaultRowHeight="15" x14ac:dyDescent="0.25"/>
  <cols>
    <col min="1" max="1" width="61.7109375" style="1" bestFit="1" customWidth="1"/>
    <col min="2" max="2" width="22.140625" style="1" customWidth="1"/>
    <col min="3" max="3" width="55.85546875" style="4" customWidth="1"/>
    <col min="4" max="4" width="22.28515625" style="4" customWidth="1"/>
    <col min="5" max="5" width="25.85546875" style="4" customWidth="1"/>
    <col min="6" max="6" width="51.85546875" style="4" customWidth="1"/>
    <col min="7" max="7" width="27.7109375" style="4" customWidth="1"/>
    <col min="8" max="9" width="44.85546875" style="4" customWidth="1"/>
    <col min="10" max="10" width="6.85546875" customWidth="1"/>
    <col min="11" max="11" width="38.5703125" bestFit="1" customWidth="1"/>
    <col min="12" max="12" width="30.140625" customWidth="1"/>
    <col min="13" max="13" width="17.7109375" bestFit="1" customWidth="1"/>
    <col min="14" max="14" width="11.42578125" bestFit="1" customWidth="1"/>
    <col min="15" max="15" width="20" bestFit="1" customWidth="1"/>
    <col min="16" max="16" width="19.5703125" customWidth="1"/>
    <col min="17" max="17" width="13.42578125" style="10" bestFit="1" customWidth="1"/>
    <col min="18" max="18" width="16.85546875" style="15" bestFit="1" customWidth="1"/>
    <col min="19" max="19" width="12.140625" style="4" bestFit="1" customWidth="1"/>
    <col min="20" max="20" width="10.42578125" bestFit="1" customWidth="1"/>
    <col min="21" max="21" width="28.28515625" style="28" bestFit="1" customWidth="1"/>
    <col min="22" max="22" width="20.7109375" style="28" bestFit="1" customWidth="1"/>
    <col min="23" max="23" width="14.7109375" style="28" bestFit="1" customWidth="1"/>
    <col min="24" max="24" width="22.5703125" style="15" bestFit="1" customWidth="1"/>
    <col min="25" max="25" width="15.5703125" style="15" bestFit="1" customWidth="1"/>
    <col min="26" max="26" width="12.85546875" bestFit="1" customWidth="1"/>
    <col min="27" max="27" width="11.5703125" bestFit="1" customWidth="1"/>
    <col min="28" max="28" width="12.85546875" bestFit="1" customWidth="1"/>
    <col min="30" max="30" width="21.7109375" style="28" bestFit="1" customWidth="1"/>
    <col min="31" max="31" width="16.5703125" style="28" bestFit="1" customWidth="1"/>
    <col min="32" max="32" width="16.28515625" style="28" bestFit="1" customWidth="1"/>
    <col min="33" max="33" width="18.42578125" style="15" bestFit="1" customWidth="1"/>
    <col min="34" max="34" width="17.140625" style="15" bestFit="1" customWidth="1"/>
  </cols>
  <sheetData>
    <row r="1" spans="1:35" ht="15.75" thickBot="1" x14ac:dyDescent="0.3">
      <c r="A1" s="2" t="s">
        <v>0</v>
      </c>
      <c r="B1" s="2" t="s">
        <v>1</v>
      </c>
      <c r="C1" s="5" t="s">
        <v>12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K1" s="4" t="s">
        <v>28</v>
      </c>
      <c r="L1" s="4" t="s">
        <v>29</v>
      </c>
      <c r="U1"/>
      <c r="W1"/>
      <c r="X1"/>
      <c r="Y1"/>
    </row>
    <row r="2" spans="1:35" ht="57.75" customHeight="1" thickBot="1" x14ac:dyDescent="0.3">
      <c r="A2" s="7"/>
      <c r="B2" s="3"/>
      <c r="C2" s="20"/>
      <c r="D2" s="3"/>
      <c r="E2" s="3"/>
      <c r="F2" s="8"/>
      <c r="G2" s="8"/>
      <c r="H2" s="18">
        <f>PERIOD_END_BALANCE-PERIOD_START_BALANCE</f>
        <v>0</v>
      </c>
      <c r="I2" s="19">
        <f>SUM(STATEMENT_DATA[AMOUNT])</f>
        <v>0</v>
      </c>
      <c r="K2" s="17">
        <f>ROUND(I2-H2, 3)</f>
        <v>0</v>
      </c>
      <c r="L2" s="29" cm="1">
        <f t="array" ref="L2">IFERROR(ROWS(_xlfn._xlws.FILTER(STATEMENT_DATA[], STATEMENT_DATA[TRANSACTION DATE]&lt;&gt;"")),0)-(ROWS(_xlfn.UNIQUE('Duplicate logic'!B1:D500))-1)</f>
        <v>0</v>
      </c>
      <c r="U2"/>
      <c r="W2"/>
      <c r="X2"/>
      <c r="Y2"/>
    </row>
    <row r="3" spans="1:35" x14ac:dyDescent="0.25">
      <c r="U3"/>
      <c r="V3"/>
      <c r="W3"/>
      <c r="X3"/>
      <c r="Y3"/>
    </row>
    <row r="4" spans="1:35" ht="15.75" thickBot="1" x14ac:dyDescent="0.3">
      <c r="Q4"/>
      <c r="U4"/>
      <c r="V4"/>
      <c r="W4"/>
      <c r="X4"/>
      <c r="Y4"/>
    </row>
    <row r="5" spans="1:35" ht="15.75" thickBot="1" x14ac:dyDescent="0.3">
      <c r="A5" s="2" t="s">
        <v>0</v>
      </c>
      <c r="B5" s="2" t="s">
        <v>1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K5" s="1" t="s">
        <v>38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/>
      <c r="U5" s="30" t="s">
        <v>23</v>
      </c>
      <c r="V5" s="30" t="s">
        <v>24</v>
      </c>
      <c r="W5" s="30" t="s">
        <v>25</v>
      </c>
      <c r="X5" s="31" t="s">
        <v>26</v>
      </c>
      <c r="Y5" s="31" t="s">
        <v>27</v>
      </c>
      <c r="AD5"/>
      <c r="AE5"/>
      <c r="AF5"/>
      <c r="AG5"/>
      <c r="AH5"/>
    </row>
    <row r="6" spans="1:35" ht="15" customHeight="1" x14ac:dyDescent="0.25">
      <c r="A6" s="21" t="str">
        <f t="shared" ref="A6:A69" si="0">IF($A$2=0,"Please select an account",$A$2)</f>
        <v>Please select an account</v>
      </c>
      <c r="B6" s="22" t="str">
        <f t="shared" ref="B6:B69" si="1">IF(TEXT($B$2,"YYYY-MM-DD")&lt;&gt;"1900-01-00",TEXT($B$2,"YYYY-MM-DD"),"Please enter a date")</f>
        <v>Please enter a date</v>
      </c>
      <c r="C6" s="11"/>
      <c r="D6" s="12"/>
      <c r="E6" s="6"/>
      <c r="F6" s="13"/>
      <c r="G6" s="9"/>
      <c r="H6" s="7"/>
      <c r="I6" s="7"/>
      <c r="K6" s="1"/>
      <c r="L6" s="28"/>
      <c r="M6" s="41"/>
      <c r="N6" s="41"/>
      <c r="O6" s="1"/>
      <c r="P6" s="1"/>
      <c r="Q6" s="4"/>
      <c r="R6" s="1"/>
      <c r="U6" s="28" t="str" cm="1">
        <f t="array" ref="U6">_xlfn._xlws.FILTER(Statements[[StatementDate]:[EndBalance]], Statements[AccountDisplayName]=SELECTED_ACCOUNT, "")</f>
        <v/>
      </c>
      <c r="AD6"/>
      <c r="AE6"/>
      <c r="AF6"/>
      <c r="AG6"/>
      <c r="AH6"/>
    </row>
    <row r="7" spans="1:35" ht="15" customHeight="1" x14ac:dyDescent="0.25">
      <c r="A7" s="23" t="str">
        <f t="shared" si="0"/>
        <v>Please select an account</v>
      </c>
      <c r="B7" s="24" t="str">
        <f t="shared" si="1"/>
        <v>Please enter a date</v>
      </c>
      <c r="C7" s="11"/>
      <c r="D7" s="12"/>
      <c r="E7" s="6"/>
      <c r="F7" s="13"/>
      <c r="G7" s="9"/>
      <c r="H7" s="7"/>
      <c r="I7" s="7"/>
      <c r="K7" s="1"/>
      <c r="L7" s="1"/>
      <c r="M7" s="1"/>
      <c r="N7" s="1"/>
      <c r="O7" s="1"/>
      <c r="P7" s="1"/>
      <c r="Q7" s="1"/>
      <c r="R7" s="1"/>
      <c r="S7" s="1"/>
      <c r="AB7" s="28"/>
      <c r="AC7" s="28"/>
      <c r="AE7" s="15"/>
      <c r="AF7" s="15"/>
      <c r="AG7" s="16"/>
      <c r="AH7"/>
    </row>
    <row r="8" spans="1:35" ht="15" customHeight="1" x14ac:dyDescent="0.25">
      <c r="A8" s="23" t="str">
        <f t="shared" si="0"/>
        <v>Please select an account</v>
      </c>
      <c r="B8" s="24" t="str">
        <f t="shared" si="1"/>
        <v>Please enter a date</v>
      </c>
      <c r="C8" s="11"/>
      <c r="D8" s="12"/>
      <c r="E8" s="6"/>
      <c r="F8" s="13"/>
      <c r="G8" s="9"/>
      <c r="H8" s="7"/>
      <c r="I8" s="7"/>
      <c r="K8" s="1" t="s">
        <v>39</v>
      </c>
      <c r="L8" s="1" t="s">
        <v>40</v>
      </c>
      <c r="M8" s="1" t="s">
        <v>41</v>
      </c>
      <c r="N8" s="1" t="s">
        <v>42</v>
      </c>
      <c r="O8" s="1" t="s">
        <v>43</v>
      </c>
      <c r="P8" s="1" t="s">
        <v>45</v>
      </c>
      <c r="Q8" s="1" t="s">
        <v>44</v>
      </c>
      <c r="R8" s="1" t="s">
        <v>33</v>
      </c>
      <c r="S8" s="1" t="s">
        <v>38</v>
      </c>
      <c r="AB8" s="28"/>
      <c r="AC8" s="28"/>
      <c r="AE8" s="15"/>
      <c r="AF8" s="15"/>
      <c r="AG8" s="16"/>
      <c r="AH8"/>
    </row>
    <row r="9" spans="1:35" ht="15" customHeight="1" x14ac:dyDescent="0.25">
      <c r="A9" s="23" t="str">
        <f t="shared" si="0"/>
        <v>Please select an account</v>
      </c>
      <c r="B9" s="24" t="str">
        <f t="shared" si="1"/>
        <v>Please enter a date</v>
      </c>
      <c r="C9" s="11"/>
      <c r="D9" s="12"/>
      <c r="E9" s="6"/>
      <c r="F9" s="13"/>
      <c r="G9" s="9"/>
      <c r="H9" s="7"/>
      <c r="I9" s="7"/>
      <c r="K9" s="1"/>
      <c r="L9" s="1"/>
      <c r="M9" s="1"/>
      <c r="N9" s="1"/>
      <c r="O9" s="1"/>
      <c r="P9" s="1"/>
      <c r="Q9" s="1"/>
      <c r="R9" s="28"/>
      <c r="S9" s="1"/>
      <c r="AI9" s="16"/>
    </row>
    <row r="10" spans="1:35" ht="15" customHeight="1" x14ac:dyDescent="0.25">
      <c r="A10" s="23" t="str">
        <f t="shared" si="0"/>
        <v>Please select an account</v>
      </c>
      <c r="B10" s="24" t="str">
        <f t="shared" si="1"/>
        <v>Please enter a date</v>
      </c>
      <c r="C10" s="11"/>
      <c r="D10" s="12"/>
      <c r="E10" s="6"/>
      <c r="F10" s="13"/>
      <c r="G10" s="9"/>
      <c r="H10" s="7"/>
      <c r="I10" s="7"/>
      <c r="AI10" s="16"/>
    </row>
    <row r="11" spans="1:35" ht="15" customHeight="1" x14ac:dyDescent="0.25">
      <c r="A11" s="23" t="str">
        <f t="shared" si="0"/>
        <v>Please select an account</v>
      </c>
      <c r="B11" s="24" t="str">
        <f t="shared" si="1"/>
        <v>Please enter a date</v>
      </c>
      <c r="C11" s="11"/>
      <c r="D11" s="12"/>
      <c r="E11" s="6"/>
      <c r="F11" s="13"/>
      <c r="G11" s="9"/>
      <c r="H11" s="7"/>
      <c r="I11" s="7"/>
      <c r="AI11" s="16"/>
    </row>
    <row r="12" spans="1:35" ht="15" customHeight="1" x14ac:dyDescent="0.25">
      <c r="A12" s="23" t="str">
        <f t="shared" si="0"/>
        <v>Please select an account</v>
      </c>
      <c r="B12" s="24" t="str">
        <f t="shared" si="1"/>
        <v>Please enter a date</v>
      </c>
      <c r="C12" s="11"/>
      <c r="D12" s="12"/>
      <c r="E12" s="6"/>
      <c r="F12" s="13"/>
      <c r="G12" s="9"/>
      <c r="H12" s="7"/>
      <c r="I12" s="7"/>
      <c r="AI12" s="16"/>
    </row>
    <row r="13" spans="1:35" ht="15" customHeight="1" x14ac:dyDescent="0.25">
      <c r="A13" s="23" t="str">
        <f t="shared" si="0"/>
        <v>Please select an account</v>
      </c>
      <c r="B13" s="24" t="str">
        <f t="shared" si="1"/>
        <v>Please enter a date</v>
      </c>
      <c r="C13" s="11"/>
      <c r="D13" s="12"/>
      <c r="E13" s="6"/>
      <c r="F13" s="13"/>
      <c r="G13" s="9"/>
      <c r="H13" s="7"/>
      <c r="I13" s="7"/>
      <c r="AI13" s="16"/>
    </row>
    <row r="14" spans="1:35" ht="15" customHeight="1" x14ac:dyDescent="0.25">
      <c r="A14" s="23" t="str">
        <f t="shared" si="0"/>
        <v>Please select an account</v>
      </c>
      <c r="B14" s="24" t="str">
        <f t="shared" si="1"/>
        <v>Please enter a date</v>
      </c>
      <c r="C14" s="11"/>
      <c r="D14" s="12"/>
      <c r="E14" s="6"/>
      <c r="F14" s="13"/>
      <c r="G14" s="9"/>
      <c r="H14" s="7"/>
      <c r="I14" s="7"/>
      <c r="AI14" s="16"/>
    </row>
    <row r="15" spans="1:35" ht="15" customHeight="1" x14ac:dyDescent="0.25">
      <c r="A15" s="23" t="str">
        <f t="shared" si="0"/>
        <v>Please select an account</v>
      </c>
      <c r="B15" s="24" t="str">
        <f t="shared" si="1"/>
        <v>Please enter a date</v>
      </c>
      <c r="C15" s="11"/>
      <c r="D15" s="12"/>
      <c r="E15" s="6"/>
      <c r="F15" s="13"/>
      <c r="G15" s="9"/>
      <c r="H15" s="7"/>
      <c r="I15" s="7"/>
      <c r="AI15" s="16"/>
    </row>
    <row r="16" spans="1:35" ht="15" customHeight="1" x14ac:dyDescent="0.25">
      <c r="A16" s="23" t="str">
        <f t="shared" si="0"/>
        <v>Please select an account</v>
      </c>
      <c r="B16" s="24" t="str">
        <f t="shared" si="1"/>
        <v>Please enter a date</v>
      </c>
      <c r="C16" s="11"/>
      <c r="D16" s="12"/>
      <c r="E16" s="6"/>
      <c r="F16" s="13"/>
      <c r="G16" s="9"/>
      <c r="H16" s="7"/>
      <c r="I16" s="7"/>
      <c r="AI16" s="16"/>
    </row>
    <row r="17" spans="1:35" ht="15" customHeight="1" x14ac:dyDescent="0.25">
      <c r="A17" s="23" t="str">
        <f t="shared" si="0"/>
        <v>Please select an account</v>
      </c>
      <c r="B17" s="24" t="str">
        <f t="shared" si="1"/>
        <v>Please enter a date</v>
      </c>
      <c r="C17" s="11"/>
      <c r="D17" s="12"/>
      <c r="E17" s="6"/>
      <c r="F17" s="13"/>
      <c r="G17" s="9"/>
      <c r="H17" s="7"/>
      <c r="I17" s="7"/>
      <c r="AI17" s="16"/>
    </row>
    <row r="18" spans="1:35" ht="15" customHeight="1" x14ac:dyDescent="0.25">
      <c r="A18" s="23" t="str">
        <f t="shared" si="0"/>
        <v>Please select an account</v>
      </c>
      <c r="B18" s="24" t="str">
        <f t="shared" si="1"/>
        <v>Please enter a date</v>
      </c>
      <c r="C18" s="11"/>
      <c r="D18" s="12"/>
      <c r="E18" s="6"/>
      <c r="F18" s="13"/>
      <c r="G18" s="9"/>
      <c r="H18" s="7"/>
      <c r="I18" s="7"/>
      <c r="AI18" s="16"/>
    </row>
    <row r="19" spans="1:35" ht="15" customHeight="1" x14ac:dyDescent="0.25">
      <c r="A19" s="23" t="str">
        <f t="shared" si="0"/>
        <v>Please select an account</v>
      </c>
      <c r="B19" s="24" t="str">
        <f t="shared" si="1"/>
        <v>Please enter a date</v>
      </c>
      <c r="C19" s="11"/>
      <c r="D19" s="12"/>
      <c r="E19" s="6"/>
      <c r="F19" s="13"/>
      <c r="G19" s="9"/>
      <c r="H19" s="7"/>
      <c r="I19" s="7"/>
      <c r="AI19" s="16"/>
    </row>
    <row r="20" spans="1:35" ht="15" customHeight="1" x14ac:dyDescent="0.25">
      <c r="A20" s="23" t="str">
        <f t="shared" si="0"/>
        <v>Please select an account</v>
      </c>
      <c r="B20" s="24" t="str">
        <f t="shared" si="1"/>
        <v>Please enter a date</v>
      </c>
      <c r="C20" s="11"/>
      <c r="D20" s="12"/>
      <c r="E20" s="6"/>
      <c r="F20" s="13"/>
      <c r="G20" s="9"/>
      <c r="H20" s="7"/>
      <c r="I20" s="7"/>
      <c r="AI20" s="16"/>
    </row>
    <row r="21" spans="1:35" ht="15" customHeight="1" x14ac:dyDescent="0.25">
      <c r="A21" s="23" t="str">
        <f t="shared" si="0"/>
        <v>Please select an account</v>
      </c>
      <c r="B21" s="24" t="str">
        <f t="shared" si="1"/>
        <v>Please enter a date</v>
      </c>
      <c r="C21" s="11"/>
      <c r="D21" s="12"/>
      <c r="E21" s="6"/>
      <c r="F21" s="13"/>
      <c r="G21" s="9"/>
      <c r="H21" s="7"/>
      <c r="I21" s="7"/>
    </row>
    <row r="22" spans="1:35" ht="15" customHeight="1" x14ac:dyDescent="0.25">
      <c r="A22" s="23" t="str">
        <f t="shared" si="0"/>
        <v>Please select an account</v>
      </c>
      <c r="B22" s="24" t="str">
        <f t="shared" si="1"/>
        <v>Please enter a date</v>
      </c>
      <c r="C22" s="11"/>
      <c r="D22" s="12"/>
      <c r="E22" s="6"/>
      <c r="F22" s="13"/>
      <c r="G22" s="9"/>
      <c r="H22" s="7"/>
      <c r="I22" s="7"/>
    </row>
    <row r="23" spans="1:35" ht="15" customHeight="1" x14ac:dyDescent="0.25">
      <c r="A23" s="23" t="str">
        <f t="shared" si="0"/>
        <v>Please select an account</v>
      </c>
      <c r="B23" s="24" t="str">
        <f t="shared" si="1"/>
        <v>Please enter a date</v>
      </c>
      <c r="C23" s="11"/>
      <c r="D23" s="12"/>
      <c r="E23" s="6"/>
      <c r="F23" s="13"/>
      <c r="G23" s="9"/>
      <c r="H23" s="7"/>
      <c r="I23" s="7"/>
    </row>
    <row r="24" spans="1:35" ht="15" customHeight="1" x14ac:dyDescent="0.25">
      <c r="A24" s="23" t="str">
        <f t="shared" si="0"/>
        <v>Please select an account</v>
      </c>
      <c r="B24" s="24" t="str">
        <f t="shared" si="1"/>
        <v>Please enter a date</v>
      </c>
      <c r="C24" s="11"/>
      <c r="D24" s="12"/>
      <c r="E24" s="6"/>
      <c r="F24" s="13"/>
      <c r="G24" s="9"/>
      <c r="H24" s="7"/>
      <c r="I24" s="7"/>
    </row>
    <row r="25" spans="1:35" ht="15" customHeight="1" x14ac:dyDescent="0.25">
      <c r="A25" s="23" t="str">
        <f t="shared" si="0"/>
        <v>Please select an account</v>
      </c>
      <c r="B25" s="24" t="str">
        <f t="shared" si="1"/>
        <v>Please enter a date</v>
      </c>
      <c r="C25" s="11"/>
      <c r="D25" s="12"/>
      <c r="E25" s="6"/>
      <c r="F25" s="13"/>
      <c r="G25" s="9"/>
      <c r="H25" s="7"/>
      <c r="I25" s="7"/>
    </row>
    <row r="26" spans="1:35" ht="15" customHeight="1" x14ac:dyDescent="0.25">
      <c r="A26" s="23" t="str">
        <f t="shared" si="0"/>
        <v>Please select an account</v>
      </c>
      <c r="B26" s="24" t="str">
        <f t="shared" si="1"/>
        <v>Please enter a date</v>
      </c>
      <c r="C26" s="11"/>
      <c r="D26" s="12"/>
      <c r="E26" s="6"/>
      <c r="F26" s="13"/>
      <c r="G26" s="9"/>
      <c r="H26" s="7"/>
      <c r="I26" s="7"/>
    </row>
    <row r="27" spans="1:35" ht="15" customHeight="1" x14ac:dyDescent="0.25">
      <c r="A27" s="23" t="str">
        <f t="shared" si="0"/>
        <v>Please select an account</v>
      </c>
      <c r="B27" s="24" t="str">
        <f t="shared" si="1"/>
        <v>Please enter a date</v>
      </c>
      <c r="C27" s="11"/>
      <c r="D27" s="12"/>
      <c r="E27" s="6"/>
      <c r="F27" s="13"/>
      <c r="G27" s="9"/>
      <c r="H27" s="7"/>
      <c r="I27" s="7"/>
    </row>
    <row r="28" spans="1:35" ht="15" customHeight="1" x14ac:dyDescent="0.25">
      <c r="A28" s="23" t="str">
        <f t="shared" si="0"/>
        <v>Please select an account</v>
      </c>
      <c r="B28" s="24" t="str">
        <f t="shared" si="1"/>
        <v>Please enter a date</v>
      </c>
      <c r="C28" s="11"/>
      <c r="D28" s="12"/>
      <c r="E28" s="6"/>
      <c r="F28" s="13"/>
      <c r="G28" s="9"/>
      <c r="H28" s="7"/>
      <c r="I28" s="7"/>
    </row>
    <row r="29" spans="1:35" ht="15" customHeight="1" x14ac:dyDescent="0.25">
      <c r="A29" s="23" t="str">
        <f t="shared" si="0"/>
        <v>Please select an account</v>
      </c>
      <c r="B29" s="24" t="str">
        <f t="shared" si="1"/>
        <v>Please enter a date</v>
      </c>
      <c r="C29" s="11"/>
      <c r="D29" s="12"/>
      <c r="E29" s="6"/>
      <c r="F29" s="13"/>
      <c r="G29" s="9"/>
      <c r="H29" s="7"/>
      <c r="I29" s="7"/>
    </row>
    <row r="30" spans="1:35" ht="15" customHeight="1" x14ac:dyDescent="0.25">
      <c r="A30" s="23" t="str">
        <f t="shared" si="0"/>
        <v>Please select an account</v>
      </c>
      <c r="B30" s="24" t="str">
        <f t="shared" si="1"/>
        <v>Please enter a date</v>
      </c>
      <c r="C30" s="11"/>
      <c r="D30" s="12"/>
      <c r="E30" s="6"/>
      <c r="F30" s="13"/>
      <c r="G30" s="9"/>
      <c r="H30" s="7"/>
      <c r="I30" s="7"/>
    </row>
    <row r="31" spans="1:35" ht="15" customHeight="1" x14ac:dyDescent="0.25">
      <c r="A31" s="23" t="str">
        <f t="shared" si="0"/>
        <v>Please select an account</v>
      </c>
      <c r="B31" s="24" t="str">
        <f t="shared" si="1"/>
        <v>Please enter a date</v>
      </c>
      <c r="C31" s="11"/>
      <c r="D31" s="12"/>
      <c r="E31" s="6"/>
      <c r="F31" s="13"/>
      <c r="G31" s="9"/>
      <c r="H31" s="7"/>
      <c r="I31" s="7"/>
    </row>
    <row r="32" spans="1:35" ht="15" customHeight="1" x14ac:dyDescent="0.25">
      <c r="A32" s="23" t="str">
        <f t="shared" si="0"/>
        <v>Please select an account</v>
      </c>
      <c r="B32" s="24" t="str">
        <f t="shared" si="1"/>
        <v>Please enter a date</v>
      </c>
      <c r="C32" s="11"/>
      <c r="D32" s="12"/>
      <c r="E32" s="6"/>
      <c r="F32" s="13"/>
      <c r="G32" s="9"/>
      <c r="H32" s="7"/>
      <c r="I32" s="7"/>
    </row>
    <row r="33" spans="1:9" ht="15" customHeight="1" x14ac:dyDescent="0.25">
      <c r="A33" s="23" t="str">
        <f t="shared" si="0"/>
        <v>Please select an account</v>
      </c>
      <c r="B33" s="24" t="str">
        <f t="shared" si="1"/>
        <v>Please enter a date</v>
      </c>
      <c r="C33" s="11"/>
      <c r="D33" s="12"/>
      <c r="E33" s="6"/>
      <c r="F33" s="13"/>
      <c r="G33" s="9"/>
      <c r="H33" s="7"/>
      <c r="I33" s="7"/>
    </row>
    <row r="34" spans="1:9" ht="15" customHeight="1" x14ac:dyDescent="0.25">
      <c r="A34" s="23" t="str">
        <f t="shared" si="0"/>
        <v>Please select an account</v>
      </c>
      <c r="B34" s="24" t="str">
        <f t="shared" si="1"/>
        <v>Please enter a date</v>
      </c>
      <c r="C34" s="11"/>
      <c r="D34" s="12"/>
      <c r="E34" s="6"/>
      <c r="F34" s="13"/>
      <c r="G34" s="9"/>
      <c r="H34" s="7"/>
      <c r="I34" s="7"/>
    </row>
    <row r="35" spans="1:9" ht="15" customHeight="1" x14ac:dyDescent="0.25">
      <c r="A35" s="23" t="str">
        <f t="shared" si="0"/>
        <v>Please select an account</v>
      </c>
      <c r="B35" s="24" t="str">
        <f t="shared" si="1"/>
        <v>Please enter a date</v>
      </c>
      <c r="C35" s="11"/>
      <c r="D35" s="12"/>
      <c r="E35" s="6"/>
      <c r="F35" s="13"/>
      <c r="G35" s="9"/>
      <c r="H35" s="7"/>
      <c r="I35" s="7"/>
    </row>
    <row r="36" spans="1:9" ht="15" customHeight="1" x14ac:dyDescent="0.25">
      <c r="A36" s="23" t="str">
        <f t="shared" si="0"/>
        <v>Please select an account</v>
      </c>
      <c r="B36" s="24" t="str">
        <f t="shared" si="1"/>
        <v>Please enter a date</v>
      </c>
      <c r="C36" s="11"/>
      <c r="D36" s="12"/>
      <c r="E36" s="6"/>
      <c r="F36" s="13"/>
      <c r="G36" s="9"/>
      <c r="H36" s="7"/>
      <c r="I36" s="7"/>
    </row>
    <row r="37" spans="1:9" ht="15" customHeight="1" x14ac:dyDescent="0.25">
      <c r="A37" s="23" t="str">
        <f t="shared" si="0"/>
        <v>Please select an account</v>
      </c>
      <c r="B37" s="24" t="str">
        <f t="shared" si="1"/>
        <v>Please enter a date</v>
      </c>
      <c r="C37" s="11"/>
      <c r="D37" s="12"/>
      <c r="E37" s="6"/>
      <c r="F37" s="13"/>
      <c r="G37" s="9"/>
      <c r="H37" s="7"/>
      <c r="I37" s="7"/>
    </row>
    <row r="38" spans="1:9" ht="15" customHeight="1" x14ac:dyDescent="0.25">
      <c r="A38" s="23" t="str">
        <f t="shared" si="0"/>
        <v>Please select an account</v>
      </c>
      <c r="B38" s="24" t="str">
        <f t="shared" si="1"/>
        <v>Please enter a date</v>
      </c>
      <c r="C38" s="11"/>
      <c r="D38" s="12"/>
      <c r="E38" s="6"/>
      <c r="F38" s="13"/>
      <c r="G38" s="9"/>
      <c r="H38" s="7"/>
      <c r="I38" s="7"/>
    </row>
    <row r="39" spans="1:9" ht="15" customHeight="1" x14ac:dyDescent="0.25">
      <c r="A39" s="23" t="str">
        <f t="shared" si="0"/>
        <v>Please select an account</v>
      </c>
      <c r="B39" s="24" t="str">
        <f t="shared" si="1"/>
        <v>Please enter a date</v>
      </c>
      <c r="C39" s="11"/>
      <c r="D39" s="12"/>
      <c r="E39" s="6"/>
      <c r="F39" s="13"/>
      <c r="G39" s="9"/>
      <c r="H39" s="7"/>
      <c r="I39" s="7"/>
    </row>
    <row r="40" spans="1:9" ht="15" customHeight="1" x14ac:dyDescent="0.25">
      <c r="A40" s="23" t="str">
        <f t="shared" si="0"/>
        <v>Please select an account</v>
      </c>
      <c r="B40" s="24" t="str">
        <f t="shared" si="1"/>
        <v>Please enter a date</v>
      </c>
      <c r="C40" s="11"/>
      <c r="D40" s="12"/>
      <c r="E40" s="6"/>
      <c r="F40" s="13"/>
      <c r="G40" s="9"/>
      <c r="H40" s="7"/>
      <c r="I40" s="7"/>
    </row>
    <row r="41" spans="1:9" ht="15" customHeight="1" x14ac:dyDescent="0.25">
      <c r="A41" s="23" t="str">
        <f t="shared" si="0"/>
        <v>Please select an account</v>
      </c>
      <c r="B41" s="24" t="str">
        <f t="shared" si="1"/>
        <v>Please enter a date</v>
      </c>
      <c r="C41" s="11"/>
      <c r="D41" s="12"/>
      <c r="E41" s="6"/>
      <c r="F41" s="13"/>
      <c r="G41" s="9"/>
      <c r="H41" s="7"/>
      <c r="I41" s="7"/>
    </row>
    <row r="42" spans="1:9" ht="15" customHeight="1" x14ac:dyDescent="0.25">
      <c r="A42" s="23" t="str">
        <f t="shared" si="0"/>
        <v>Please select an account</v>
      </c>
      <c r="B42" s="24" t="str">
        <f t="shared" si="1"/>
        <v>Please enter a date</v>
      </c>
      <c r="C42" s="11"/>
      <c r="D42" s="12"/>
      <c r="E42" s="6"/>
      <c r="F42" s="13"/>
      <c r="G42" s="9"/>
      <c r="H42" s="7"/>
      <c r="I42" s="7"/>
    </row>
    <row r="43" spans="1:9" ht="15" customHeight="1" x14ac:dyDescent="0.25">
      <c r="A43" s="23" t="str">
        <f t="shared" si="0"/>
        <v>Please select an account</v>
      </c>
      <c r="B43" s="24" t="str">
        <f t="shared" si="1"/>
        <v>Please enter a date</v>
      </c>
      <c r="C43" s="11"/>
      <c r="D43" s="12"/>
      <c r="E43" s="6"/>
      <c r="F43" s="13"/>
      <c r="G43" s="9"/>
      <c r="H43" s="7"/>
      <c r="I43" s="7"/>
    </row>
    <row r="44" spans="1:9" ht="15" customHeight="1" x14ac:dyDescent="0.25">
      <c r="A44" s="23" t="str">
        <f t="shared" si="0"/>
        <v>Please select an account</v>
      </c>
      <c r="B44" s="24" t="str">
        <f t="shared" si="1"/>
        <v>Please enter a date</v>
      </c>
      <c r="C44" s="11"/>
      <c r="D44" s="12"/>
      <c r="E44" s="6"/>
      <c r="F44" s="13"/>
      <c r="G44" s="9"/>
      <c r="H44" s="7"/>
      <c r="I44" s="7"/>
    </row>
    <row r="45" spans="1:9" ht="15" customHeight="1" x14ac:dyDescent="0.25">
      <c r="A45" s="23" t="str">
        <f t="shared" si="0"/>
        <v>Please select an account</v>
      </c>
      <c r="B45" s="24" t="str">
        <f t="shared" si="1"/>
        <v>Please enter a date</v>
      </c>
      <c r="C45" s="11"/>
      <c r="D45" s="12"/>
      <c r="E45" s="6"/>
      <c r="F45" s="13"/>
      <c r="G45" s="9"/>
      <c r="H45" s="7"/>
      <c r="I45" s="7"/>
    </row>
    <row r="46" spans="1:9" ht="15" customHeight="1" x14ac:dyDescent="0.25">
      <c r="A46" s="23" t="str">
        <f t="shared" si="0"/>
        <v>Please select an account</v>
      </c>
      <c r="B46" s="24" t="str">
        <f t="shared" si="1"/>
        <v>Please enter a date</v>
      </c>
      <c r="C46" s="11"/>
      <c r="D46" s="12"/>
      <c r="E46" s="6"/>
      <c r="F46" s="13"/>
      <c r="G46" s="9"/>
      <c r="H46" s="7"/>
      <c r="I46" s="7"/>
    </row>
    <row r="47" spans="1:9" ht="15" customHeight="1" x14ac:dyDescent="0.25">
      <c r="A47" s="23" t="str">
        <f t="shared" si="0"/>
        <v>Please select an account</v>
      </c>
      <c r="B47" s="24" t="str">
        <f t="shared" si="1"/>
        <v>Please enter a date</v>
      </c>
      <c r="C47" s="11"/>
      <c r="D47" s="12"/>
      <c r="E47" s="6"/>
      <c r="F47" s="13"/>
      <c r="G47" s="9"/>
      <c r="H47" s="7"/>
      <c r="I47" s="7"/>
    </row>
    <row r="48" spans="1:9" ht="15" customHeight="1" x14ac:dyDescent="0.25">
      <c r="A48" s="23" t="str">
        <f t="shared" si="0"/>
        <v>Please select an account</v>
      </c>
      <c r="B48" s="24" t="str">
        <f t="shared" si="1"/>
        <v>Please enter a date</v>
      </c>
      <c r="C48" s="11"/>
      <c r="D48" s="12"/>
      <c r="E48" s="6"/>
      <c r="F48" s="13"/>
      <c r="G48" s="9"/>
      <c r="H48" s="7"/>
      <c r="I48" s="7"/>
    </row>
    <row r="49" spans="1:9" ht="15" customHeight="1" x14ac:dyDescent="0.25">
      <c r="A49" s="23" t="str">
        <f t="shared" si="0"/>
        <v>Please select an account</v>
      </c>
      <c r="B49" s="24" t="str">
        <f t="shared" si="1"/>
        <v>Please enter a date</v>
      </c>
      <c r="C49" s="11"/>
      <c r="D49" s="12"/>
      <c r="E49" s="6"/>
      <c r="F49" s="13"/>
      <c r="G49" s="9"/>
      <c r="H49" s="7"/>
      <c r="I49" s="7"/>
    </row>
    <row r="50" spans="1:9" ht="15" customHeight="1" x14ac:dyDescent="0.25">
      <c r="A50" s="23" t="str">
        <f t="shared" si="0"/>
        <v>Please select an account</v>
      </c>
      <c r="B50" s="24" t="str">
        <f t="shared" si="1"/>
        <v>Please enter a date</v>
      </c>
      <c r="C50" s="11"/>
      <c r="D50" s="12"/>
      <c r="E50" s="6"/>
      <c r="F50" s="13"/>
      <c r="G50" s="9"/>
      <c r="H50" s="7"/>
      <c r="I50" s="7"/>
    </row>
    <row r="51" spans="1:9" ht="15" customHeight="1" x14ac:dyDescent="0.25">
      <c r="A51" s="23" t="str">
        <f t="shared" si="0"/>
        <v>Please select an account</v>
      </c>
      <c r="B51" s="24" t="str">
        <f t="shared" si="1"/>
        <v>Please enter a date</v>
      </c>
      <c r="C51" s="11"/>
      <c r="D51" s="12"/>
      <c r="E51" s="6"/>
      <c r="F51" s="13"/>
      <c r="G51" s="9"/>
      <c r="H51" s="7"/>
      <c r="I51" s="7"/>
    </row>
    <row r="52" spans="1:9" ht="15" customHeight="1" x14ac:dyDescent="0.25">
      <c r="A52" s="23" t="str">
        <f t="shared" si="0"/>
        <v>Please select an account</v>
      </c>
      <c r="B52" s="24" t="str">
        <f t="shared" si="1"/>
        <v>Please enter a date</v>
      </c>
      <c r="C52" s="11"/>
      <c r="D52" s="12"/>
      <c r="E52" s="6"/>
      <c r="F52" s="13"/>
      <c r="G52" s="9"/>
      <c r="H52" s="7"/>
      <c r="I52" s="7"/>
    </row>
    <row r="53" spans="1:9" ht="15" customHeight="1" x14ac:dyDescent="0.25">
      <c r="A53" s="23" t="str">
        <f t="shared" si="0"/>
        <v>Please select an account</v>
      </c>
      <c r="B53" s="24" t="str">
        <f t="shared" si="1"/>
        <v>Please enter a date</v>
      </c>
      <c r="C53" s="11"/>
      <c r="D53" s="12"/>
      <c r="E53" s="6"/>
      <c r="F53" s="13"/>
      <c r="G53" s="9"/>
      <c r="H53" s="7"/>
      <c r="I53" s="7"/>
    </row>
    <row r="54" spans="1:9" ht="15" customHeight="1" x14ac:dyDescent="0.25">
      <c r="A54" s="23" t="str">
        <f t="shared" si="0"/>
        <v>Please select an account</v>
      </c>
      <c r="B54" s="24" t="str">
        <f t="shared" si="1"/>
        <v>Please enter a date</v>
      </c>
      <c r="C54" s="11"/>
      <c r="D54" s="12"/>
      <c r="E54" s="6"/>
      <c r="F54" s="13"/>
      <c r="G54" s="9"/>
      <c r="H54" s="7"/>
      <c r="I54" s="7"/>
    </row>
    <row r="55" spans="1:9" ht="15" customHeight="1" x14ac:dyDescent="0.25">
      <c r="A55" s="23" t="str">
        <f t="shared" si="0"/>
        <v>Please select an account</v>
      </c>
      <c r="B55" s="24" t="str">
        <f t="shared" si="1"/>
        <v>Please enter a date</v>
      </c>
      <c r="C55" s="11"/>
      <c r="D55" s="12"/>
      <c r="E55" s="6"/>
      <c r="F55" s="13"/>
      <c r="G55" s="9"/>
      <c r="H55" s="7"/>
      <c r="I55" s="7"/>
    </row>
    <row r="56" spans="1:9" ht="15" customHeight="1" x14ac:dyDescent="0.25">
      <c r="A56" s="23" t="str">
        <f t="shared" si="0"/>
        <v>Please select an account</v>
      </c>
      <c r="B56" s="24" t="str">
        <f t="shared" si="1"/>
        <v>Please enter a date</v>
      </c>
      <c r="C56" s="11"/>
      <c r="D56" s="12"/>
      <c r="E56" s="6"/>
      <c r="F56" s="13"/>
      <c r="G56" s="9"/>
      <c r="H56" s="7"/>
      <c r="I56" s="7"/>
    </row>
    <row r="57" spans="1:9" x14ac:dyDescent="0.25">
      <c r="A57" s="23" t="str">
        <f t="shared" si="0"/>
        <v>Please select an account</v>
      </c>
      <c r="B57" s="24" t="str">
        <f t="shared" si="1"/>
        <v>Please enter a date</v>
      </c>
      <c r="C57" s="11"/>
      <c r="D57" s="12"/>
      <c r="E57" s="6"/>
      <c r="F57" s="13"/>
      <c r="G57" s="9"/>
      <c r="H57" s="7"/>
      <c r="I57" s="7"/>
    </row>
    <row r="58" spans="1:9" x14ac:dyDescent="0.25">
      <c r="A58" s="23" t="str">
        <f t="shared" si="0"/>
        <v>Please select an account</v>
      </c>
      <c r="B58" s="24" t="str">
        <f t="shared" si="1"/>
        <v>Please enter a date</v>
      </c>
      <c r="C58" s="11"/>
      <c r="D58" s="12"/>
      <c r="E58" s="6"/>
      <c r="F58" s="13"/>
      <c r="G58" s="9"/>
      <c r="H58" s="7"/>
      <c r="I58" s="7"/>
    </row>
    <row r="59" spans="1:9" x14ac:dyDescent="0.25">
      <c r="A59" s="23" t="str">
        <f t="shared" si="0"/>
        <v>Please select an account</v>
      </c>
      <c r="B59" s="24" t="str">
        <f t="shared" si="1"/>
        <v>Please enter a date</v>
      </c>
      <c r="C59" s="11"/>
      <c r="D59" s="12"/>
      <c r="E59" s="6"/>
      <c r="F59" s="13"/>
      <c r="G59" s="9"/>
      <c r="H59" s="7"/>
      <c r="I59" s="7"/>
    </row>
    <row r="60" spans="1:9" x14ac:dyDescent="0.25">
      <c r="A60" s="23" t="str">
        <f t="shared" si="0"/>
        <v>Please select an account</v>
      </c>
      <c r="B60" s="24" t="str">
        <f t="shared" si="1"/>
        <v>Please enter a date</v>
      </c>
      <c r="C60" s="11"/>
      <c r="D60" s="12"/>
      <c r="E60" s="6"/>
      <c r="F60" s="13"/>
      <c r="G60" s="9"/>
      <c r="H60" s="7"/>
      <c r="I60" s="7"/>
    </row>
    <row r="61" spans="1:9" x14ac:dyDescent="0.25">
      <c r="A61" s="23" t="str">
        <f t="shared" si="0"/>
        <v>Please select an account</v>
      </c>
      <c r="B61" s="24" t="str">
        <f t="shared" si="1"/>
        <v>Please enter a date</v>
      </c>
      <c r="C61" s="11"/>
      <c r="D61" s="12"/>
      <c r="E61" s="6"/>
      <c r="F61" s="13"/>
      <c r="G61" s="9"/>
      <c r="H61" s="7"/>
      <c r="I61" s="7"/>
    </row>
    <row r="62" spans="1:9" x14ac:dyDescent="0.25">
      <c r="A62" s="23" t="str">
        <f t="shared" si="0"/>
        <v>Please select an account</v>
      </c>
      <c r="B62" s="24" t="str">
        <f t="shared" si="1"/>
        <v>Please enter a date</v>
      </c>
      <c r="C62" s="11"/>
      <c r="D62" s="12"/>
      <c r="E62" s="6"/>
      <c r="F62" s="13"/>
      <c r="G62" s="9"/>
      <c r="H62" s="7"/>
      <c r="I62" s="7"/>
    </row>
    <row r="63" spans="1:9" x14ac:dyDescent="0.25">
      <c r="A63" s="23" t="str">
        <f t="shared" si="0"/>
        <v>Please select an account</v>
      </c>
      <c r="B63" s="24" t="str">
        <f t="shared" si="1"/>
        <v>Please enter a date</v>
      </c>
      <c r="C63" s="11"/>
      <c r="D63" s="12"/>
      <c r="E63" s="6"/>
      <c r="F63" s="13"/>
      <c r="G63" s="9"/>
      <c r="H63" s="7"/>
      <c r="I63" s="7"/>
    </row>
    <row r="64" spans="1:9" x14ac:dyDescent="0.25">
      <c r="A64" s="23" t="str">
        <f t="shared" si="0"/>
        <v>Please select an account</v>
      </c>
      <c r="B64" s="24" t="str">
        <f t="shared" si="1"/>
        <v>Please enter a date</v>
      </c>
      <c r="C64" s="11"/>
      <c r="D64" s="12"/>
      <c r="E64" s="6"/>
      <c r="F64" s="13"/>
      <c r="G64" s="9"/>
      <c r="H64" s="7"/>
      <c r="I64" s="7"/>
    </row>
    <row r="65" spans="1:9" x14ac:dyDescent="0.25">
      <c r="A65" s="23" t="str">
        <f t="shared" si="0"/>
        <v>Please select an account</v>
      </c>
      <c r="B65" s="24" t="str">
        <f t="shared" si="1"/>
        <v>Please enter a date</v>
      </c>
      <c r="C65" s="11"/>
      <c r="D65" s="12"/>
      <c r="E65" s="6"/>
      <c r="F65" s="13"/>
      <c r="G65" s="9"/>
      <c r="H65" s="7"/>
      <c r="I65" s="7"/>
    </row>
    <row r="66" spans="1:9" x14ac:dyDescent="0.25">
      <c r="A66" s="23" t="str">
        <f t="shared" si="0"/>
        <v>Please select an account</v>
      </c>
      <c r="B66" s="24" t="str">
        <f t="shared" si="1"/>
        <v>Please enter a date</v>
      </c>
      <c r="C66" s="11"/>
      <c r="D66" s="12"/>
      <c r="E66" s="6"/>
      <c r="F66" s="13"/>
      <c r="G66" s="9"/>
      <c r="H66" s="7"/>
      <c r="I66" s="7"/>
    </row>
    <row r="67" spans="1:9" x14ac:dyDescent="0.25">
      <c r="A67" s="23" t="str">
        <f t="shared" si="0"/>
        <v>Please select an account</v>
      </c>
      <c r="B67" s="24" t="str">
        <f t="shared" si="1"/>
        <v>Please enter a date</v>
      </c>
      <c r="C67" s="11"/>
      <c r="D67" s="12"/>
      <c r="E67" s="6"/>
      <c r="F67" s="13"/>
      <c r="G67" s="9"/>
      <c r="H67" s="7"/>
      <c r="I67" s="7"/>
    </row>
    <row r="68" spans="1:9" x14ac:dyDescent="0.25">
      <c r="A68" s="23" t="str">
        <f t="shared" si="0"/>
        <v>Please select an account</v>
      </c>
      <c r="B68" s="24" t="str">
        <f t="shared" si="1"/>
        <v>Please enter a date</v>
      </c>
      <c r="C68" s="11"/>
      <c r="D68" s="12"/>
      <c r="E68" s="6"/>
      <c r="F68" s="13"/>
      <c r="G68" s="9"/>
      <c r="H68" s="7"/>
      <c r="I68" s="7"/>
    </row>
    <row r="69" spans="1:9" x14ac:dyDescent="0.25">
      <c r="A69" s="23" t="str">
        <f t="shared" si="0"/>
        <v>Please select an account</v>
      </c>
      <c r="B69" s="24" t="str">
        <f t="shared" si="1"/>
        <v>Please enter a date</v>
      </c>
      <c r="C69" s="11"/>
      <c r="D69" s="12"/>
      <c r="E69" s="6"/>
      <c r="F69" s="13"/>
      <c r="G69" s="9"/>
      <c r="H69" s="7"/>
      <c r="I69" s="7"/>
    </row>
    <row r="70" spans="1:9" x14ac:dyDescent="0.25">
      <c r="A70" s="23" t="str">
        <f t="shared" ref="A70:A133" si="2">IF($A$2=0,"Please select an account",$A$2)</f>
        <v>Please select an account</v>
      </c>
      <c r="B70" s="24" t="str">
        <f t="shared" ref="B70:B133" si="3">IF(TEXT($B$2,"YYYY-MM-DD")&lt;&gt;"1900-01-00",TEXT($B$2,"YYYY-MM-DD"),"Please enter a date")</f>
        <v>Please enter a date</v>
      </c>
      <c r="C70" s="11"/>
      <c r="D70" s="12"/>
      <c r="E70" s="6"/>
      <c r="F70" s="13"/>
      <c r="G70" s="9"/>
      <c r="H70" s="7"/>
      <c r="I70" s="7"/>
    </row>
    <row r="71" spans="1:9" x14ac:dyDescent="0.25">
      <c r="A71" s="23" t="str">
        <f t="shared" si="2"/>
        <v>Please select an account</v>
      </c>
      <c r="B71" s="24" t="str">
        <f t="shared" si="3"/>
        <v>Please enter a date</v>
      </c>
      <c r="C71" s="11"/>
      <c r="D71" s="12"/>
      <c r="E71" s="6"/>
      <c r="F71" s="13"/>
      <c r="G71" s="9"/>
      <c r="H71" s="7"/>
      <c r="I71" s="7"/>
    </row>
    <row r="72" spans="1:9" x14ac:dyDescent="0.25">
      <c r="A72" s="23" t="str">
        <f t="shared" si="2"/>
        <v>Please select an account</v>
      </c>
      <c r="B72" s="24" t="str">
        <f t="shared" si="3"/>
        <v>Please enter a date</v>
      </c>
      <c r="C72" s="11"/>
      <c r="D72" s="12"/>
      <c r="E72" s="6"/>
      <c r="F72" s="13"/>
      <c r="G72" s="9"/>
      <c r="H72" s="7"/>
      <c r="I72" s="7"/>
    </row>
    <row r="73" spans="1:9" x14ac:dyDescent="0.25">
      <c r="A73" s="23" t="str">
        <f t="shared" si="2"/>
        <v>Please select an account</v>
      </c>
      <c r="B73" s="24" t="str">
        <f t="shared" si="3"/>
        <v>Please enter a date</v>
      </c>
      <c r="C73" s="11"/>
      <c r="D73" s="12"/>
      <c r="E73" s="6"/>
      <c r="F73" s="13"/>
      <c r="G73" s="9"/>
      <c r="H73" s="7"/>
      <c r="I73" s="7"/>
    </row>
    <row r="74" spans="1:9" x14ac:dyDescent="0.25">
      <c r="A74" s="23" t="str">
        <f t="shared" si="2"/>
        <v>Please select an account</v>
      </c>
      <c r="B74" s="24" t="str">
        <f t="shared" si="3"/>
        <v>Please enter a date</v>
      </c>
      <c r="C74" s="11"/>
      <c r="D74" s="12"/>
      <c r="E74" s="6"/>
      <c r="F74" s="13"/>
      <c r="G74" s="9"/>
      <c r="H74" s="7"/>
      <c r="I74" s="7"/>
    </row>
    <row r="75" spans="1:9" x14ac:dyDescent="0.25">
      <c r="A75" s="23" t="str">
        <f t="shared" si="2"/>
        <v>Please select an account</v>
      </c>
      <c r="B75" s="24" t="str">
        <f t="shared" si="3"/>
        <v>Please enter a date</v>
      </c>
      <c r="C75" s="11"/>
      <c r="D75" s="12"/>
      <c r="E75" s="6"/>
      <c r="F75" s="13"/>
      <c r="G75" s="9"/>
      <c r="H75" s="7"/>
      <c r="I75" s="7"/>
    </row>
    <row r="76" spans="1:9" x14ac:dyDescent="0.25">
      <c r="A76" s="23" t="str">
        <f t="shared" si="2"/>
        <v>Please select an account</v>
      </c>
      <c r="B76" s="24" t="str">
        <f t="shared" si="3"/>
        <v>Please enter a date</v>
      </c>
      <c r="C76" s="11"/>
      <c r="D76" s="12"/>
      <c r="E76" s="6"/>
      <c r="F76" s="13"/>
      <c r="G76" s="9"/>
      <c r="H76" s="7"/>
      <c r="I76" s="7"/>
    </row>
    <row r="77" spans="1:9" x14ac:dyDescent="0.25">
      <c r="A77" s="23" t="str">
        <f t="shared" si="2"/>
        <v>Please select an account</v>
      </c>
      <c r="B77" s="24" t="str">
        <f t="shared" si="3"/>
        <v>Please enter a date</v>
      </c>
      <c r="C77" s="11"/>
      <c r="D77" s="12"/>
      <c r="E77" s="6"/>
      <c r="F77" s="13"/>
      <c r="G77" s="9"/>
      <c r="H77" s="7"/>
      <c r="I77" s="7"/>
    </row>
    <row r="78" spans="1:9" x14ac:dyDescent="0.25">
      <c r="A78" s="23" t="str">
        <f t="shared" si="2"/>
        <v>Please select an account</v>
      </c>
      <c r="B78" s="24" t="str">
        <f t="shared" si="3"/>
        <v>Please enter a date</v>
      </c>
      <c r="C78" s="11"/>
      <c r="D78" s="12"/>
      <c r="E78" s="6"/>
      <c r="F78" s="13"/>
      <c r="G78" s="9"/>
      <c r="H78" s="7"/>
      <c r="I78" s="7"/>
    </row>
    <row r="79" spans="1:9" x14ac:dyDescent="0.25">
      <c r="A79" s="23" t="str">
        <f t="shared" si="2"/>
        <v>Please select an account</v>
      </c>
      <c r="B79" s="24" t="str">
        <f t="shared" si="3"/>
        <v>Please enter a date</v>
      </c>
      <c r="C79" s="11"/>
      <c r="D79" s="12"/>
      <c r="E79" s="6"/>
      <c r="F79" s="13"/>
      <c r="G79" s="9"/>
      <c r="H79" s="7"/>
      <c r="I79" s="7"/>
    </row>
    <row r="80" spans="1:9" x14ac:dyDescent="0.25">
      <c r="A80" s="23" t="str">
        <f t="shared" si="2"/>
        <v>Please select an account</v>
      </c>
      <c r="B80" s="24" t="str">
        <f t="shared" si="3"/>
        <v>Please enter a date</v>
      </c>
      <c r="C80" s="11"/>
      <c r="D80" s="12"/>
      <c r="E80" s="6"/>
      <c r="F80" s="13"/>
      <c r="G80" s="9"/>
      <c r="H80" s="7"/>
      <c r="I80" s="7"/>
    </row>
    <row r="81" spans="1:9" x14ac:dyDescent="0.25">
      <c r="A81" s="23" t="str">
        <f t="shared" si="2"/>
        <v>Please select an account</v>
      </c>
      <c r="B81" s="24" t="str">
        <f t="shared" si="3"/>
        <v>Please enter a date</v>
      </c>
      <c r="C81" s="11"/>
      <c r="D81" s="12"/>
      <c r="E81" s="6"/>
      <c r="F81" s="13"/>
      <c r="G81" s="9"/>
      <c r="H81" s="7"/>
      <c r="I81" s="7"/>
    </row>
    <row r="82" spans="1:9" x14ac:dyDescent="0.25">
      <c r="A82" s="23" t="str">
        <f t="shared" si="2"/>
        <v>Please select an account</v>
      </c>
      <c r="B82" s="24" t="str">
        <f t="shared" si="3"/>
        <v>Please enter a date</v>
      </c>
      <c r="C82" s="11"/>
      <c r="D82" s="12"/>
      <c r="E82" s="6"/>
      <c r="F82" s="13"/>
      <c r="G82" s="9"/>
      <c r="H82" s="7"/>
      <c r="I82" s="7"/>
    </row>
    <row r="83" spans="1:9" x14ac:dyDescent="0.25">
      <c r="A83" s="23" t="str">
        <f t="shared" si="2"/>
        <v>Please select an account</v>
      </c>
      <c r="B83" s="24" t="str">
        <f t="shared" si="3"/>
        <v>Please enter a date</v>
      </c>
      <c r="C83" s="11"/>
      <c r="D83" s="12"/>
      <c r="E83" s="6"/>
      <c r="F83" s="13"/>
      <c r="G83" s="9"/>
      <c r="H83" s="7"/>
      <c r="I83" s="7"/>
    </row>
    <row r="84" spans="1:9" x14ac:dyDescent="0.25">
      <c r="A84" s="23" t="str">
        <f t="shared" si="2"/>
        <v>Please select an account</v>
      </c>
      <c r="B84" s="24" t="str">
        <f t="shared" si="3"/>
        <v>Please enter a date</v>
      </c>
      <c r="C84" s="11"/>
      <c r="D84" s="12"/>
      <c r="E84" s="6"/>
      <c r="F84" s="13"/>
      <c r="G84" s="9"/>
      <c r="H84" s="7"/>
      <c r="I84" s="7"/>
    </row>
    <row r="85" spans="1:9" x14ac:dyDescent="0.25">
      <c r="A85" s="23" t="str">
        <f t="shared" si="2"/>
        <v>Please select an account</v>
      </c>
      <c r="B85" s="24" t="str">
        <f t="shared" si="3"/>
        <v>Please enter a date</v>
      </c>
      <c r="C85" s="11"/>
      <c r="D85" s="12"/>
      <c r="E85" s="6"/>
      <c r="F85" s="13"/>
      <c r="G85" s="9"/>
      <c r="H85" s="7"/>
      <c r="I85" s="7"/>
    </row>
    <row r="86" spans="1:9" x14ac:dyDescent="0.25">
      <c r="A86" s="23" t="str">
        <f t="shared" si="2"/>
        <v>Please select an account</v>
      </c>
      <c r="B86" s="24" t="str">
        <f t="shared" si="3"/>
        <v>Please enter a date</v>
      </c>
      <c r="C86" s="11"/>
      <c r="D86" s="12"/>
      <c r="E86" s="6"/>
      <c r="F86" s="13"/>
      <c r="G86" s="9"/>
      <c r="H86" s="7"/>
      <c r="I86" s="7"/>
    </row>
    <row r="87" spans="1:9" x14ac:dyDescent="0.25">
      <c r="A87" s="23" t="str">
        <f t="shared" si="2"/>
        <v>Please select an account</v>
      </c>
      <c r="B87" s="24" t="str">
        <f t="shared" si="3"/>
        <v>Please enter a date</v>
      </c>
      <c r="C87" s="11"/>
      <c r="D87" s="12"/>
      <c r="E87" s="6"/>
      <c r="F87" s="13"/>
      <c r="G87" s="9"/>
      <c r="H87" s="7"/>
      <c r="I87" s="7"/>
    </row>
    <row r="88" spans="1:9" x14ac:dyDescent="0.25">
      <c r="A88" s="23" t="str">
        <f t="shared" si="2"/>
        <v>Please select an account</v>
      </c>
      <c r="B88" s="24" t="str">
        <f t="shared" si="3"/>
        <v>Please enter a date</v>
      </c>
      <c r="C88" s="11"/>
      <c r="D88" s="12"/>
      <c r="E88" s="6"/>
      <c r="F88" s="13"/>
      <c r="G88" s="9"/>
      <c r="H88" s="7"/>
      <c r="I88" s="7"/>
    </row>
    <row r="89" spans="1:9" x14ac:dyDescent="0.25">
      <c r="A89" s="23" t="str">
        <f t="shared" si="2"/>
        <v>Please select an account</v>
      </c>
      <c r="B89" s="24" t="str">
        <f t="shared" si="3"/>
        <v>Please enter a date</v>
      </c>
      <c r="C89" s="11"/>
      <c r="D89" s="12"/>
      <c r="E89" s="6"/>
      <c r="F89" s="13"/>
      <c r="G89" s="9"/>
      <c r="H89" s="7"/>
      <c r="I89" s="7"/>
    </row>
    <row r="90" spans="1:9" x14ac:dyDescent="0.25">
      <c r="A90" s="23" t="str">
        <f t="shared" si="2"/>
        <v>Please select an account</v>
      </c>
      <c r="B90" s="24" t="str">
        <f t="shared" si="3"/>
        <v>Please enter a date</v>
      </c>
      <c r="C90" s="11"/>
      <c r="D90" s="12"/>
      <c r="E90" s="6"/>
      <c r="F90" s="13"/>
      <c r="G90" s="9"/>
      <c r="H90" s="7"/>
      <c r="I90" s="7"/>
    </row>
    <row r="91" spans="1:9" x14ac:dyDescent="0.25">
      <c r="A91" s="23" t="str">
        <f t="shared" si="2"/>
        <v>Please select an account</v>
      </c>
      <c r="B91" s="24" t="str">
        <f t="shared" si="3"/>
        <v>Please enter a date</v>
      </c>
      <c r="C91" s="11"/>
      <c r="D91" s="12"/>
      <c r="E91" s="6"/>
      <c r="F91" s="13"/>
      <c r="G91" s="9"/>
      <c r="H91" s="7"/>
      <c r="I91" s="7"/>
    </row>
    <row r="92" spans="1:9" x14ac:dyDescent="0.25">
      <c r="A92" s="23" t="str">
        <f t="shared" si="2"/>
        <v>Please select an account</v>
      </c>
      <c r="B92" s="24" t="str">
        <f t="shared" si="3"/>
        <v>Please enter a date</v>
      </c>
      <c r="C92" s="11"/>
      <c r="D92" s="12"/>
      <c r="E92" s="6"/>
      <c r="F92" s="13"/>
      <c r="G92" s="9"/>
      <c r="H92" s="7"/>
      <c r="I92" s="7"/>
    </row>
    <row r="93" spans="1:9" x14ac:dyDescent="0.25">
      <c r="A93" s="23" t="str">
        <f t="shared" si="2"/>
        <v>Please select an account</v>
      </c>
      <c r="B93" s="24" t="str">
        <f t="shared" si="3"/>
        <v>Please enter a date</v>
      </c>
      <c r="C93" s="11"/>
      <c r="D93" s="12"/>
      <c r="E93" s="6"/>
      <c r="F93" s="13"/>
      <c r="G93" s="9"/>
      <c r="H93" s="7"/>
      <c r="I93" s="7"/>
    </row>
    <row r="94" spans="1:9" x14ac:dyDescent="0.25">
      <c r="A94" s="23" t="str">
        <f t="shared" si="2"/>
        <v>Please select an account</v>
      </c>
      <c r="B94" s="24" t="str">
        <f t="shared" si="3"/>
        <v>Please enter a date</v>
      </c>
      <c r="C94" s="11"/>
      <c r="D94" s="12"/>
      <c r="E94" s="6"/>
      <c r="F94" s="13"/>
      <c r="G94" s="9"/>
      <c r="H94" s="7"/>
      <c r="I94" s="7"/>
    </row>
    <row r="95" spans="1:9" x14ac:dyDescent="0.25">
      <c r="A95" s="23" t="str">
        <f t="shared" si="2"/>
        <v>Please select an account</v>
      </c>
      <c r="B95" s="24" t="str">
        <f t="shared" si="3"/>
        <v>Please enter a date</v>
      </c>
      <c r="C95" s="11"/>
      <c r="D95" s="12"/>
      <c r="E95" s="6"/>
      <c r="F95" s="13"/>
      <c r="G95" s="9"/>
      <c r="H95" s="7"/>
      <c r="I95" s="7"/>
    </row>
    <row r="96" spans="1:9" x14ac:dyDescent="0.25">
      <c r="A96" s="23" t="str">
        <f t="shared" si="2"/>
        <v>Please select an account</v>
      </c>
      <c r="B96" s="24" t="str">
        <f t="shared" si="3"/>
        <v>Please enter a date</v>
      </c>
      <c r="C96" s="11"/>
      <c r="D96" s="12"/>
      <c r="E96" s="6"/>
      <c r="F96" s="13"/>
      <c r="G96" s="9"/>
      <c r="H96" s="7"/>
      <c r="I96" s="7"/>
    </row>
    <row r="97" spans="1:9" x14ac:dyDescent="0.25">
      <c r="A97" s="23" t="str">
        <f t="shared" si="2"/>
        <v>Please select an account</v>
      </c>
      <c r="B97" s="24" t="str">
        <f t="shared" si="3"/>
        <v>Please enter a date</v>
      </c>
      <c r="C97" s="11"/>
      <c r="D97" s="12"/>
      <c r="E97" s="6"/>
      <c r="F97" s="13"/>
      <c r="G97" s="9"/>
      <c r="H97" s="7"/>
      <c r="I97" s="7"/>
    </row>
    <row r="98" spans="1:9" x14ac:dyDescent="0.25">
      <c r="A98" s="23" t="str">
        <f t="shared" si="2"/>
        <v>Please select an account</v>
      </c>
      <c r="B98" s="24" t="str">
        <f t="shared" si="3"/>
        <v>Please enter a date</v>
      </c>
      <c r="C98" s="11"/>
      <c r="D98" s="12"/>
      <c r="E98" s="6"/>
      <c r="F98" s="13"/>
      <c r="G98" s="9"/>
      <c r="H98" s="7"/>
      <c r="I98" s="7"/>
    </row>
    <row r="99" spans="1:9" x14ac:dyDescent="0.25">
      <c r="A99" s="23" t="str">
        <f t="shared" si="2"/>
        <v>Please select an account</v>
      </c>
      <c r="B99" s="24" t="str">
        <f t="shared" si="3"/>
        <v>Please enter a date</v>
      </c>
      <c r="C99" s="11"/>
      <c r="D99" s="12"/>
      <c r="E99" s="6"/>
      <c r="F99" s="13"/>
      <c r="G99" s="9"/>
      <c r="H99" s="7"/>
      <c r="I99" s="7"/>
    </row>
    <row r="100" spans="1:9" x14ac:dyDescent="0.25">
      <c r="A100" s="23" t="str">
        <f t="shared" si="2"/>
        <v>Please select an account</v>
      </c>
      <c r="B100" s="24" t="str">
        <f t="shared" si="3"/>
        <v>Please enter a date</v>
      </c>
      <c r="C100" s="11"/>
      <c r="D100" s="12"/>
      <c r="E100" s="6"/>
      <c r="F100" s="13"/>
      <c r="G100" s="9"/>
      <c r="H100" s="7"/>
      <c r="I100" s="7"/>
    </row>
    <row r="101" spans="1:9" x14ac:dyDescent="0.25">
      <c r="A101" s="23" t="str">
        <f t="shared" si="2"/>
        <v>Please select an account</v>
      </c>
      <c r="B101" s="24" t="str">
        <f t="shared" si="3"/>
        <v>Please enter a date</v>
      </c>
      <c r="C101" s="11"/>
      <c r="D101" s="12"/>
      <c r="E101" s="6"/>
      <c r="F101" s="13"/>
      <c r="G101" s="9"/>
      <c r="H101" s="7"/>
      <c r="I101" s="7"/>
    </row>
    <row r="102" spans="1:9" x14ac:dyDescent="0.25">
      <c r="A102" s="23" t="str">
        <f t="shared" si="2"/>
        <v>Please select an account</v>
      </c>
      <c r="B102" s="24" t="str">
        <f t="shared" si="3"/>
        <v>Please enter a date</v>
      </c>
      <c r="C102" s="11"/>
      <c r="D102" s="12"/>
      <c r="E102" s="6"/>
      <c r="F102" s="13"/>
      <c r="G102" s="9"/>
      <c r="H102" s="7"/>
      <c r="I102" s="7"/>
    </row>
    <row r="103" spans="1:9" x14ac:dyDescent="0.25">
      <c r="A103" s="23" t="str">
        <f t="shared" si="2"/>
        <v>Please select an account</v>
      </c>
      <c r="B103" s="24" t="str">
        <f t="shared" si="3"/>
        <v>Please enter a date</v>
      </c>
      <c r="C103" s="11"/>
      <c r="D103" s="12"/>
      <c r="E103" s="6"/>
      <c r="F103" s="13"/>
      <c r="G103" s="9"/>
      <c r="H103" s="7"/>
      <c r="I103" s="7"/>
    </row>
    <row r="104" spans="1:9" x14ac:dyDescent="0.25">
      <c r="A104" s="23" t="str">
        <f t="shared" si="2"/>
        <v>Please select an account</v>
      </c>
      <c r="B104" s="24" t="str">
        <f t="shared" si="3"/>
        <v>Please enter a date</v>
      </c>
      <c r="C104" s="11"/>
      <c r="D104" s="12"/>
      <c r="E104" s="6"/>
      <c r="F104" s="13"/>
      <c r="G104" s="9"/>
      <c r="H104" s="7"/>
      <c r="I104" s="7"/>
    </row>
    <row r="105" spans="1:9" x14ac:dyDescent="0.25">
      <c r="A105" s="23" t="str">
        <f t="shared" si="2"/>
        <v>Please select an account</v>
      </c>
      <c r="B105" s="24" t="str">
        <f t="shared" si="3"/>
        <v>Please enter a date</v>
      </c>
      <c r="C105" s="11"/>
      <c r="D105" s="12"/>
      <c r="E105" s="6"/>
      <c r="F105" s="13"/>
      <c r="G105" s="9"/>
      <c r="H105" s="7"/>
      <c r="I105" s="7"/>
    </row>
    <row r="106" spans="1:9" x14ac:dyDescent="0.25">
      <c r="A106" s="23" t="str">
        <f t="shared" si="2"/>
        <v>Please select an account</v>
      </c>
      <c r="B106" s="24" t="str">
        <f t="shared" si="3"/>
        <v>Please enter a date</v>
      </c>
      <c r="C106" s="11"/>
      <c r="D106" s="12"/>
      <c r="E106" s="6"/>
      <c r="F106" s="13"/>
      <c r="G106" s="9"/>
      <c r="H106" s="7"/>
      <c r="I106" s="7"/>
    </row>
    <row r="107" spans="1:9" x14ac:dyDescent="0.25">
      <c r="A107" s="23" t="str">
        <f t="shared" si="2"/>
        <v>Please select an account</v>
      </c>
      <c r="B107" s="24" t="str">
        <f t="shared" si="3"/>
        <v>Please enter a date</v>
      </c>
      <c r="C107" s="11"/>
      <c r="D107" s="12"/>
      <c r="E107" s="6"/>
      <c r="F107" s="13"/>
      <c r="G107" s="9"/>
      <c r="H107" s="7"/>
      <c r="I107" s="7"/>
    </row>
    <row r="108" spans="1:9" x14ac:dyDescent="0.25">
      <c r="A108" s="23" t="str">
        <f t="shared" si="2"/>
        <v>Please select an account</v>
      </c>
      <c r="B108" s="24" t="str">
        <f t="shared" si="3"/>
        <v>Please enter a date</v>
      </c>
      <c r="C108" s="11"/>
      <c r="D108" s="12"/>
      <c r="E108" s="6"/>
      <c r="F108" s="13"/>
      <c r="G108" s="9"/>
      <c r="H108" s="7"/>
      <c r="I108" s="7"/>
    </row>
    <row r="109" spans="1:9" x14ac:dyDescent="0.25">
      <c r="A109" s="23" t="str">
        <f t="shared" si="2"/>
        <v>Please select an account</v>
      </c>
      <c r="B109" s="24" t="str">
        <f t="shared" si="3"/>
        <v>Please enter a date</v>
      </c>
      <c r="C109" s="11"/>
      <c r="D109" s="12"/>
      <c r="E109" s="6"/>
      <c r="F109" s="13"/>
      <c r="G109" s="9"/>
      <c r="H109" s="7"/>
      <c r="I109" s="7"/>
    </row>
    <row r="110" spans="1:9" x14ac:dyDescent="0.25">
      <c r="A110" s="23" t="str">
        <f t="shared" si="2"/>
        <v>Please select an account</v>
      </c>
      <c r="B110" s="24" t="str">
        <f t="shared" si="3"/>
        <v>Please enter a date</v>
      </c>
      <c r="C110" s="11"/>
      <c r="D110" s="12"/>
      <c r="E110" s="6"/>
      <c r="F110" s="13"/>
      <c r="G110" s="9"/>
      <c r="H110" s="7"/>
      <c r="I110" s="7"/>
    </row>
    <row r="111" spans="1:9" x14ac:dyDescent="0.25">
      <c r="A111" s="23" t="str">
        <f t="shared" si="2"/>
        <v>Please select an account</v>
      </c>
      <c r="B111" s="24" t="str">
        <f t="shared" si="3"/>
        <v>Please enter a date</v>
      </c>
      <c r="C111" s="11"/>
      <c r="D111" s="12"/>
      <c r="E111" s="6"/>
      <c r="F111" s="13"/>
      <c r="G111" s="9"/>
      <c r="H111" s="7"/>
      <c r="I111" s="7"/>
    </row>
    <row r="112" spans="1:9" x14ac:dyDescent="0.25">
      <c r="A112" s="23" t="str">
        <f t="shared" si="2"/>
        <v>Please select an account</v>
      </c>
      <c r="B112" s="24" t="str">
        <f t="shared" si="3"/>
        <v>Please enter a date</v>
      </c>
      <c r="C112" s="11"/>
      <c r="D112" s="12"/>
      <c r="E112" s="6"/>
      <c r="F112" s="13"/>
      <c r="G112" s="9"/>
      <c r="H112" s="7"/>
      <c r="I112" s="7"/>
    </row>
    <row r="113" spans="1:9" x14ac:dyDescent="0.25">
      <c r="A113" s="23" t="str">
        <f t="shared" si="2"/>
        <v>Please select an account</v>
      </c>
      <c r="B113" s="24" t="str">
        <f t="shared" si="3"/>
        <v>Please enter a date</v>
      </c>
      <c r="C113" s="11"/>
      <c r="D113" s="12"/>
      <c r="E113" s="6"/>
      <c r="F113" s="13"/>
      <c r="G113" s="9"/>
      <c r="H113" s="7"/>
      <c r="I113" s="7"/>
    </row>
    <row r="114" spans="1:9" x14ac:dyDescent="0.25">
      <c r="A114" s="23" t="str">
        <f t="shared" si="2"/>
        <v>Please select an account</v>
      </c>
      <c r="B114" s="24" t="str">
        <f t="shared" si="3"/>
        <v>Please enter a date</v>
      </c>
      <c r="C114" s="11"/>
      <c r="D114" s="12"/>
      <c r="E114" s="6"/>
      <c r="F114" s="13"/>
      <c r="G114" s="9"/>
      <c r="H114" s="7"/>
      <c r="I114" s="7"/>
    </row>
    <row r="115" spans="1:9" x14ac:dyDescent="0.25">
      <c r="A115" s="23" t="str">
        <f t="shared" si="2"/>
        <v>Please select an account</v>
      </c>
      <c r="B115" s="24" t="str">
        <f t="shared" si="3"/>
        <v>Please enter a date</v>
      </c>
      <c r="C115" s="11"/>
      <c r="D115" s="12"/>
      <c r="E115" s="6"/>
      <c r="F115" s="13"/>
      <c r="G115" s="9"/>
      <c r="H115" s="7"/>
      <c r="I115" s="7"/>
    </row>
    <row r="116" spans="1:9" x14ac:dyDescent="0.25">
      <c r="A116" s="23" t="str">
        <f t="shared" si="2"/>
        <v>Please select an account</v>
      </c>
      <c r="B116" s="24" t="str">
        <f t="shared" si="3"/>
        <v>Please enter a date</v>
      </c>
      <c r="C116" s="11"/>
      <c r="D116" s="12"/>
      <c r="E116" s="6"/>
      <c r="F116" s="13"/>
      <c r="G116" s="9"/>
      <c r="H116" s="7"/>
      <c r="I116" s="7"/>
    </row>
    <row r="117" spans="1:9" x14ac:dyDescent="0.25">
      <c r="A117" s="23" t="str">
        <f t="shared" si="2"/>
        <v>Please select an account</v>
      </c>
      <c r="B117" s="24" t="str">
        <f t="shared" si="3"/>
        <v>Please enter a date</v>
      </c>
      <c r="C117" s="11"/>
      <c r="D117" s="12"/>
      <c r="E117" s="6"/>
      <c r="F117" s="13"/>
      <c r="G117" s="9"/>
      <c r="H117" s="7"/>
      <c r="I117" s="7"/>
    </row>
    <row r="118" spans="1:9" x14ac:dyDescent="0.25">
      <c r="A118" s="23" t="str">
        <f t="shared" si="2"/>
        <v>Please select an account</v>
      </c>
      <c r="B118" s="24" t="str">
        <f t="shared" si="3"/>
        <v>Please enter a date</v>
      </c>
      <c r="C118" s="11"/>
      <c r="D118" s="12"/>
      <c r="E118" s="6"/>
      <c r="F118" s="13"/>
      <c r="G118" s="9"/>
      <c r="H118" s="7"/>
      <c r="I118" s="7"/>
    </row>
    <row r="119" spans="1:9" x14ac:dyDescent="0.25">
      <c r="A119" s="23" t="str">
        <f t="shared" si="2"/>
        <v>Please select an account</v>
      </c>
      <c r="B119" s="24" t="str">
        <f t="shared" si="3"/>
        <v>Please enter a date</v>
      </c>
      <c r="C119" s="11"/>
      <c r="D119" s="12"/>
      <c r="E119" s="6"/>
      <c r="F119" s="13"/>
      <c r="G119" s="9"/>
      <c r="H119" s="7"/>
      <c r="I119" s="7"/>
    </row>
    <row r="120" spans="1:9" x14ac:dyDescent="0.25">
      <c r="A120" s="23" t="str">
        <f t="shared" si="2"/>
        <v>Please select an account</v>
      </c>
      <c r="B120" s="24" t="str">
        <f t="shared" si="3"/>
        <v>Please enter a date</v>
      </c>
      <c r="C120" s="11"/>
      <c r="D120" s="12"/>
      <c r="E120" s="6"/>
      <c r="F120" s="13"/>
      <c r="G120" s="9"/>
      <c r="H120" s="7"/>
      <c r="I120" s="7"/>
    </row>
    <row r="121" spans="1:9" x14ac:dyDescent="0.25">
      <c r="A121" s="23" t="str">
        <f t="shared" si="2"/>
        <v>Please select an account</v>
      </c>
      <c r="B121" s="24" t="str">
        <f t="shared" si="3"/>
        <v>Please enter a date</v>
      </c>
      <c r="C121" s="11"/>
      <c r="D121" s="12"/>
      <c r="E121" s="6"/>
      <c r="F121" s="13"/>
      <c r="G121" s="9"/>
      <c r="H121" s="7"/>
      <c r="I121" s="7"/>
    </row>
    <row r="122" spans="1:9" x14ac:dyDescent="0.25">
      <c r="A122" s="23" t="str">
        <f t="shared" si="2"/>
        <v>Please select an account</v>
      </c>
      <c r="B122" s="24" t="str">
        <f t="shared" si="3"/>
        <v>Please enter a date</v>
      </c>
      <c r="C122" s="11"/>
      <c r="D122" s="12"/>
      <c r="E122" s="6"/>
      <c r="F122" s="13"/>
      <c r="G122" s="9"/>
      <c r="H122" s="7"/>
      <c r="I122" s="7"/>
    </row>
    <row r="123" spans="1:9" x14ac:dyDescent="0.25">
      <c r="A123" s="23" t="str">
        <f t="shared" si="2"/>
        <v>Please select an account</v>
      </c>
      <c r="B123" s="24" t="str">
        <f t="shared" si="3"/>
        <v>Please enter a date</v>
      </c>
      <c r="C123" s="11"/>
      <c r="D123" s="12"/>
      <c r="E123" s="6"/>
      <c r="F123" s="13"/>
      <c r="G123" s="9"/>
      <c r="H123" s="7"/>
      <c r="I123" s="7"/>
    </row>
    <row r="124" spans="1:9" x14ac:dyDescent="0.25">
      <c r="A124" s="23" t="str">
        <f t="shared" si="2"/>
        <v>Please select an account</v>
      </c>
      <c r="B124" s="24" t="str">
        <f t="shared" si="3"/>
        <v>Please enter a date</v>
      </c>
      <c r="C124" s="11"/>
      <c r="D124" s="12"/>
      <c r="E124" s="6"/>
      <c r="F124" s="13"/>
      <c r="G124" s="9"/>
      <c r="H124" s="7"/>
      <c r="I124" s="7"/>
    </row>
    <row r="125" spans="1:9" x14ac:dyDescent="0.25">
      <c r="A125" s="23" t="str">
        <f t="shared" si="2"/>
        <v>Please select an account</v>
      </c>
      <c r="B125" s="24" t="str">
        <f t="shared" si="3"/>
        <v>Please enter a date</v>
      </c>
      <c r="C125" s="11"/>
      <c r="D125" s="12"/>
      <c r="E125" s="6"/>
      <c r="F125" s="13"/>
      <c r="G125" s="9"/>
      <c r="H125" s="7"/>
      <c r="I125" s="7"/>
    </row>
    <row r="126" spans="1:9" x14ac:dyDescent="0.25">
      <c r="A126" s="23" t="str">
        <f t="shared" si="2"/>
        <v>Please select an account</v>
      </c>
      <c r="B126" s="24" t="str">
        <f t="shared" si="3"/>
        <v>Please enter a date</v>
      </c>
      <c r="C126" s="11"/>
      <c r="D126" s="12"/>
      <c r="E126" s="6"/>
      <c r="F126" s="13"/>
      <c r="G126" s="9"/>
      <c r="H126" s="7"/>
      <c r="I126" s="7"/>
    </row>
    <row r="127" spans="1:9" x14ac:dyDescent="0.25">
      <c r="A127" s="23" t="str">
        <f t="shared" si="2"/>
        <v>Please select an account</v>
      </c>
      <c r="B127" s="24" t="str">
        <f t="shared" si="3"/>
        <v>Please enter a date</v>
      </c>
      <c r="C127" s="11"/>
      <c r="D127" s="12"/>
      <c r="E127" s="6"/>
      <c r="F127" s="13"/>
      <c r="G127" s="9"/>
      <c r="H127" s="7"/>
      <c r="I127" s="7"/>
    </row>
    <row r="128" spans="1:9" x14ac:dyDescent="0.25">
      <c r="A128" s="23" t="str">
        <f t="shared" si="2"/>
        <v>Please select an account</v>
      </c>
      <c r="B128" s="24" t="str">
        <f t="shared" si="3"/>
        <v>Please enter a date</v>
      </c>
      <c r="C128" s="11"/>
      <c r="D128" s="12"/>
      <c r="E128" s="6"/>
      <c r="F128" s="13"/>
      <c r="G128" s="9"/>
      <c r="H128" s="7"/>
      <c r="I128" s="7"/>
    </row>
    <row r="129" spans="1:9" x14ac:dyDescent="0.25">
      <c r="A129" s="23" t="str">
        <f t="shared" si="2"/>
        <v>Please select an account</v>
      </c>
      <c r="B129" s="24" t="str">
        <f t="shared" si="3"/>
        <v>Please enter a date</v>
      </c>
      <c r="C129" s="11"/>
      <c r="D129" s="12"/>
      <c r="E129" s="6"/>
      <c r="F129" s="13"/>
      <c r="G129" s="9"/>
      <c r="H129" s="7"/>
      <c r="I129" s="7"/>
    </row>
    <row r="130" spans="1:9" x14ac:dyDescent="0.25">
      <c r="A130" s="23" t="str">
        <f t="shared" si="2"/>
        <v>Please select an account</v>
      </c>
      <c r="B130" s="24" t="str">
        <f t="shared" si="3"/>
        <v>Please enter a date</v>
      </c>
      <c r="C130" s="11"/>
      <c r="D130" s="12"/>
      <c r="E130" s="6"/>
      <c r="F130" s="13"/>
      <c r="G130" s="9"/>
      <c r="H130" s="7"/>
      <c r="I130" s="7"/>
    </row>
    <row r="131" spans="1:9" x14ac:dyDescent="0.25">
      <c r="A131" s="23" t="str">
        <f t="shared" si="2"/>
        <v>Please select an account</v>
      </c>
      <c r="B131" s="24" t="str">
        <f t="shared" si="3"/>
        <v>Please enter a date</v>
      </c>
      <c r="C131" s="11"/>
      <c r="D131" s="12"/>
      <c r="E131" s="6"/>
      <c r="F131" s="13"/>
      <c r="G131" s="9"/>
      <c r="H131" s="7"/>
      <c r="I131" s="7"/>
    </row>
    <row r="132" spans="1:9" x14ac:dyDescent="0.25">
      <c r="A132" s="23" t="str">
        <f t="shared" si="2"/>
        <v>Please select an account</v>
      </c>
      <c r="B132" s="24" t="str">
        <f t="shared" si="3"/>
        <v>Please enter a date</v>
      </c>
      <c r="C132" s="11"/>
      <c r="D132" s="12"/>
      <c r="E132" s="6"/>
      <c r="F132" s="13"/>
      <c r="G132" s="9"/>
      <c r="H132" s="7"/>
      <c r="I132" s="7"/>
    </row>
    <row r="133" spans="1:9" x14ac:dyDescent="0.25">
      <c r="A133" s="23" t="str">
        <f t="shared" si="2"/>
        <v>Please select an account</v>
      </c>
      <c r="B133" s="24" t="str">
        <f t="shared" si="3"/>
        <v>Please enter a date</v>
      </c>
      <c r="C133" s="11"/>
      <c r="D133" s="12"/>
      <c r="E133" s="6"/>
      <c r="F133" s="13"/>
      <c r="G133" s="9"/>
      <c r="H133" s="7"/>
      <c r="I133" s="7"/>
    </row>
    <row r="134" spans="1:9" x14ac:dyDescent="0.25">
      <c r="A134" s="23" t="str">
        <f t="shared" ref="A134:A197" si="4">IF($A$2=0,"Please select an account",$A$2)</f>
        <v>Please select an account</v>
      </c>
      <c r="B134" s="24" t="str">
        <f t="shared" ref="B134:B197" si="5">IF(TEXT($B$2,"YYYY-MM-DD")&lt;&gt;"1900-01-00",TEXT($B$2,"YYYY-MM-DD"),"Please enter a date")</f>
        <v>Please enter a date</v>
      </c>
      <c r="C134" s="11"/>
      <c r="D134" s="12"/>
      <c r="E134" s="6"/>
      <c r="F134" s="13"/>
      <c r="G134" s="9"/>
      <c r="H134" s="7"/>
      <c r="I134" s="7"/>
    </row>
    <row r="135" spans="1:9" x14ac:dyDescent="0.25">
      <c r="A135" s="23" t="str">
        <f t="shared" si="4"/>
        <v>Please select an account</v>
      </c>
      <c r="B135" s="24" t="str">
        <f t="shared" si="5"/>
        <v>Please enter a date</v>
      </c>
      <c r="C135" s="11"/>
      <c r="D135" s="12"/>
      <c r="E135" s="6"/>
      <c r="F135" s="13"/>
      <c r="G135" s="9"/>
      <c r="H135" s="7"/>
      <c r="I135" s="7"/>
    </row>
    <row r="136" spans="1:9" x14ac:dyDescent="0.25">
      <c r="A136" s="23" t="str">
        <f t="shared" si="4"/>
        <v>Please select an account</v>
      </c>
      <c r="B136" s="24" t="str">
        <f t="shared" si="5"/>
        <v>Please enter a date</v>
      </c>
      <c r="C136" s="11"/>
      <c r="D136" s="12"/>
      <c r="E136" s="6"/>
      <c r="F136" s="13"/>
      <c r="G136" s="9"/>
      <c r="H136" s="7"/>
      <c r="I136" s="7"/>
    </row>
    <row r="137" spans="1:9" x14ac:dyDescent="0.25">
      <c r="A137" s="23" t="str">
        <f t="shared" si="4"/>
        <v>Please select an account</v>
      </c>
      <c r="B137" s="24" t="str">
        <f t="shared" si="5"/>
        <v>Please enter a date</v>
      </c>
      <c r="C137" s="11"/>
      <c r="D137" s="12"/>
      <c r="E137" s="6"/>
      <c r="F137" s="13"/>
      <c r="G137" s="9"/>
      <c r="H137" s="7"/>
      <c r="I137" s="7"/>
    </row>
    <row r="138" spans="1:9" x14ac:dyDescent="0.25">
      <c r="A138" s="23" t="str">
        <f t="shared" si="4"/>
        <v>Please select an account</v>
      </c>
      <c r="B138" s="24" t="str">
        <f t="shared" si="5"/>
        <v>Please enter a date</v>
      </c>
      <c r="C138" s="11"/>
      <c r="D138" s="12"/>
      <c r="E138" s="6"/>
      <c r="F138" s="13"/>
      <c r="G138" s="9"/>
      <c r="H138" s="7"/>
      <c r="I138" s="7"/>
    </row>
    <row r="139" spans="1:9" x14ac:dyDescent="0.25">
      <c r="A139" s="23" t="str">
        <f t="shared" si="4"/>
        <v>Please select an account</v>
      </c>
      <c r="B139" s="24" t="str">
        <f t="shared" si="5"/>
        <v>Please enter a date</v>
      </c>
      <c r="C139" s="11"/>
      <c r="D139" s="12"/>
      <c r="E139" s="6"/>
      <c r="F139" s="13"/>
      <c r="G139" s="9"/>
      <c r="H139" s="7"/>
      <c r="I139" s="7"/>
    </row>
    <row r="140" spans="1:9" x14ac:dyDescent="0.25">
      <c r="A140" s="23" t="str">
        <f t="shared" si="4"/>
        <v>Please select an account</v>
      </c>
      <c r="B140" s="24" t="str">
        <f t="shared" si="5"/>
        <v>Please enter a date</v>
      </c>
      <c r="C140" s="11"/>
      <c r="D140" s="12"/>
      <c r="E140" s="6"/>
      <c r="F140" s="13"/>
      <c r="G140" s="9"/>
      <c r="H140" s="7"/>
      <c r="I140" s="7"/>
    </row>
    <row r="141" spans="1:9" x14ac:dyDescent="0.25">
      <c r="A141" s="23" t="str">
        <f t="shared" si="4"/>
        <v>Please select an account</v>
      </c>
      <c r="B141" s="24" t="str">
        <f t="shared" si="5"/>
        <v>Please enter a date</v>
      </c>
      <c r="C141" s="11"/>
      <c r="D141" s="12"/>
      <c r="E141" s="6"/>
      <c r="F141" s="13"/>
      <c r="G141" s="9"/>
      <c r="H141" s="7"/>
      <c r="I141" s="7"/>
    </row>
    <row r="142" spans="1:9" x14ac:dyDescent="0.25">
      <c r="A142" s="23" t="str">
        <f t="shared" si="4"/>
        <v>Please select an account</v>
      </c>
      <c r="B142" s="24" t="str">
        <f t="shared" si="5"/>
        <v>Please enter a date</v>
      </c>
      <c r="C142" s="11"/>
      <c r="D142" s="12"/>
      <c r="E142" s="6"/>
      <c r="F142" s="13"/>
      <c r="G142" s="9"/>
      <c r="H142" s="7"/>
      <c r="I142" s="7"/>
    </row>
    <row r="143" spans="1:9" x14ac:dyDescent="0.25">
      <c r="A143" s="23" t="str">
        <f t="shared" si="4"/>
        <v>Please select an account</v>
      </c>
      <c r="B143" s="24" t="str">
        <f t="shared" si="5"/>
        <v>Please enter a date</v>
      </c>
      <c r="C143" s="11"/>
      <c r="D143" s="12"/>
      <c r="E143" s="6"/>
      <c r="F143" s="13"/>
      <c r="G143" s="9"/>
      <c r="H143" s="7"/>
      <c r="I143" s="7"/>
    </row>
    <row r="144" spans="1:9" x14ac:dyDescent="0.25">
      <c r="A144" s="23" t="str">
        <f t="shared" si="4"/>
        <v>Please select an account</v>
      </c>
      <c r="B144" s="24" t="str">
        <f t="shared" si="5"/>
        <v>Please enter a date</v>
      </c>
      <c r="C144" s="11"/>
      <c r="D144" s="12"/>
      <c r="E144" s="6"/>
      <c r="F144" s="13"/>
      <c r="G144" s="9"/>
      <c r="H144" s="7"/>
      <c r="I144" s="7"/>
    </row>
    <row r="145" spans="1:9" x14ac:dyDescent="0.25">
      <c r="A145" s="23" t="str">
        <f t="shared" si="4"/>
        <v>Please select an account</v>
      </c>
      <c r="B145" s="24" t="str">
        <f t="shared" si="5"/>
        <v>Please enter a date</v>
      </c>
      <c r="C145" s="11"/>
      <c r="D145" s="12"/>
      <c r="E145" s="6"/>
      <c r="F145" s="13"/>
      <c r="G145" s="9"/>
      <c r="H145" s="7"/>
      <c r="I145" s="7"/>
    </row>
    <row r="146" spans="1:9" x14ac:dyDescent="0.25">
      <c r="A146" s="23" t="str">
        <f t="shared" si="4"/>
        <v>Please select an account</v>
      </c>
      <c r="B146" s="24" t="str">
        <f t="shared" si="5"/>
        <v>Please enter a date</v>
      </c>
      <c r="C146" s="11"/>
      <c r="D146" s="12"/>
      <c r="E146" s="6"/>
      <c r="F146" s="13"/>
      <c r="G146" s="9"/>
      <c r="H146" s="7"/>
      <c r="I146" s="7"/>
    </row>
    <row r="147" spans="1:9" x14ac:dyDescent="0.25">
      <c r="A147" s="23" t="str">
        <f t="shared" si="4"/>
        <v>Please select an account</v>
      </c>
      <c r="B147" s="24" t="str">
        <f t="shared" si="5"/>
        <v>Please enter a date</v>
      </c>
      <c r="C147" s="11"/>
      <c r="D147" s="12"/>
      <c r="E147" s="6"/>
      <c r="F147" s="13"/>
      <c r="G147" s="9"/>
      <c r="H147" s="7"/>
      <c r="I147" s="7"/>
    </row>
    <row r="148" spans="1:9" x14ac:dyDescent="0.25">
      <c r="A148" s="23" t="str">
        <f t="shared" si="4"/>
        <v>Please select an account</v>
      </c>
      <c r="B148" s="24" t="str">
        <f t="shared" si="5"/>
        <v>Please enter a date</v>
      </c>
      <c r="C148" s="11"/>
      <c r="D148" s="12"/>
      <c r="E148" s="6"/>
      <c r="F148" s="13"/>
      <c r="G148" s="9"/>
      <c r="H148" s="7"/>
      <c r="I148" s="7"/>
    </row>
    <row r="149" spans="1:9" x14ac:dyDescent="0.25">
      <c r="A149" s="23" t="str">
        <f t="shared" si="4"/>
        <v>Please select an account</v>
      </c>
      <c r="B149" s="24" t="str">
        <f t="shared" si="5"/>
        <v>Please enter a date</v>
      </c>
      <c r="C149" s="11"/>
      <c r="D149" s="12"/>
      <c r="E149" s="6"/>
      <c r="F149" s="13"/>
      <c r="G149" s="9"/>
      <c r="H149" s="7"/>
      <c r="I149" s="7"/>
    </row>
    <row r="150" spans="1:9" x14ac:dyDescent="0.25">
      <c r="A150" s="23" t="str">
        <f t="shared" si="4"/>
        <v>Please select an account</v>
      </c>
      <c r="B150" s="24" t="str">
        <f t="shared" si="5"/>
        <v>Please enter a date</v>
      </c>
      <c r="C150" s="11"/>
      <c r="D150" s="12"/>
      <c r="E150" s="6"/>
      <c r="F150" s="13"/>
      <c r="G150" s="9"/>
      <c r="H150" s="7"/>
      <c r="I150" s="7"/>
    </row>
    <row r="151" spans="1:9" x14ac:dyDescent="0.25">
      <c r="A151" s="23" t="str">
        <f t="shared" si="4"/>
        <v>Please select an account</v>
      </c>
      <c r="B151" s="24" t="str">
        <f t="shared" si="5"/>
        <v>Please enter a date</v>
      </c>
      <c r="C151" s="11"/>
      <c r="D151" s="12"/>
      <c r="E151" s="6"/>
      <c r="F151" s="13"/>
      <c r="G151" s="9"/>
      <c r="H151" s="7"/>
      <c r="I151" s="7"/>
    </row>
    <row r="152" spans="1:9" x14ac:dyDescent="0.25">
      <c r="A152" s="23" t="str">
        <f t="shared" si="4"/>
        <v>Please select an account</v>
      </c>
      <c r="B152" s="24" t="str">
        <f t="shared" si="5"/>
        <v>Please enter a date</v>
      </c>
      <c r="C152" s="11"/>
      <c r="D152" s="12"/>
      <c r="E152" s="6"/>
      <c r="F152" s="13"/>
      <c r="G152" s="9"/>
      <c r="H152" s="7"/>
      <c r="I152" s="7"/>
    </row>
    <row r="153" spans="1:9" x14ac:dyDescent="0.25">
      <c r="A153" s="23" t="str">
        <f t="shared" si="4"/>
        <v>Please select an account</v>
      </c>
      <c r="B153" s="24" t="str">
        <f t="shared" si="5"/>
        <v>Please enter a date</v>
      </c>
      <c r="C153" s="11"/>
      <c r="D153" s="12"/>
      <c r="E153" s="6"/>
      <c r="F153" s="13"/>
      <c r="G153" s="9"/>
      <c r="H153" s="7"/>
      <c r="I153" s="7"/>
    </row>
    <row r="154" spans="1:9" x14ac:dyDescent="0.25">
      <c r="A154" s="23" t="str">
        <f t="shared" si="4"/>
        <v>Please select an account</v>
      </c>
      <c r="B154" s="24" t="str">
        <f t="shared" si="5"/>
        <v>Please enter a date</v>
      </c>
      <c r="C154" s="11"/>
      <c r="D154" s="12"/>
      <c r="E154" s="6"/>
      <c r="F154" s="13"/>
      <c r="G154" s="9"/>
      <c r="H154" s="7"/>
      <c r="I154" s="7"/>
    </row>
    <row r="155" spans="1:9" x14ac:dyDescent="0.25">
      <c r="A155" s="23" t="str">
        <f t="shared" si="4"/>
        <v>Please select an account</v>
      </c>
      <c r="B155" s="24" t="str">
        <f t="shared" si="5"/>
        <v>Please enter a date</v>
      </c>
      <c r="C155" s="11"/>
      <c r="D155" s="12"/>
      <c r="E155" s="6"/>
      <c r="F155" s="13"/>
      <c r="G155" s="9"/>
      <c r="H155" s="7"/>
      <c r="I155" s="7"/>
    </row>
    <row r="156" spans="1:9" x14ac:dyDescent="0.25">
      <c r="A156" s="23" t="str">
        <f t="shared" si="4"/>
        <v>Please select an account</v>
      </c>
      <c r="B156" s="24" t="str">
        <f t="shared" si="5"/>
        <v>Please enter a date</v>
      </c>
      <c r="C156" s="11"/>
      <c r="D156" s="12"/>
      <c r="E156" s="6"/>
      <c r="F156" s="13"/>
      <c r="G156" s="9"/>
      <c r="H156" s="7"/>
      <c r="I156" s="7"/>
    </row>
    <row r="157" spans="1:9" x14ac:dyDescent="0.25">
      <c r="A157" s="23" t="str">
        <f t="shared" si="4"/>
        <v>Please select an account</v>
      </c>
      <c r="B157" s="24" t="str">
        <f t="shared" si="5"/>
        <v>Please enter a date</v>
      </c>
      <c r="C157" s="11"/>
      <c r="D157" s="12"/>
      <c r="E157" s="6"/>
      <c r="F157" s="13"/>
      <c r="G157" s="9"/>
      <c r="H157" s="7"/>
      <c r="I157" s="7"/>
    </row>
    <row r="158" spans="1:9" x14ac:dyDescent="0.25">
      <c r="A158" s="23" t="str">
        <f t="shared" si="4"/>
        <v>Please select an account</v>
      </c>
      <c r="B158" s="24" t="str">
        <f t="shared" si="5"/>
        <v>Please enter a date</v>
      </c>
      <c r="C158" s="11"/>
      <c r="D158" s="12"/>
      <c r="E158" s="6"/>
      <c r="F158" s="13"/>
      <c r="G158" s="9"/>
      <c r="H158" s="7"/>
      <c r="I158" s="7"/>
    </row>
    <row r="159" spans="1:9" x14ac:dyDescent="0.25">
      <c r="A159" s="23" t="str">
        <f t="shared" si="4"/>
        <v>Please select an account</v>
      </c>
      <c r="B159" s="24" t="str">
        <f t="shared" si="5"/>
        <v>Please enter a date</v>
      </c>
      <c r="C159" s="11"/>
      <c r="D159" s="12"/>
      <c r="E159" s="6"/>
      <c r="F159" s="13"/>
      <c r="G159" s="9"/>
      <c r="H159" s="7"/>
      <c r="I159" s="7"/>
    </row>
    <row r="160" spans="1:9" x14ac:dyDescent="0.25">
      <c r="A160" s="23" t="str">
        <f t="shared" si="4"/>
        <v>Please select an account</v>
      </c>
      <c r="B160" s="24" t="str">
        <f t="shared" si="5"/>
        <v>Please enter a date</v>
      </c>
      <c r="C160" s="11"/>
      <c r="D160" s="12"/>
      <c r="E160" s="6"/>
      <c r="F160" s="13"/>
      <c r="G160" s="9"/>
      <c r="H160" s="7"/>
      <c r="I160" s="7"/>
    </row>
    <row r="161" spans="1:9" x14ac:dyDescent="0.25">
      <c r="A161" s="23" t="str">
        <f t="shared" si="4"/>
        <v>Please select an account</v>
      </c>
      <c r="B161" s="24" t="str">
        <f t="shared" si="5"/>
        <v>Please enter a date</v>
      </c>
      <c r="C161" s="11"/>
      <c r="D161" s="12"/>
      <c r="E161" s="6"/>
      <c r="F161" s="13"/>
      <c r="G161" s="9"/>
      <c r="H161" s="7"/>
      <c r="I161" s="7"/>
    </row>
    <row r="162" spans="1:9" x14ac:dyDescent="0.25">
      <c r="A162" s="23" t="str">
        <f t="shared" si="4"/>
        <v>Please select an account</v>
      </c>
      <c r="B162" s="24" t="str">
        <f t="shared" si="5"/>
        <v>Please enter a date</v>
      </c>
      <c r="C162" s="11"/>
      <c r="D162" s="12"/>
      <c r="E162" s="6"/>
      <c r="F162" s="13"/>
      <c r="G162" s="9"/>
      <c r="H162" s="7"/>
      <c r="I162" s="7"/>
    </row>
    <row r="163" spans="1:9" x14ac:dyDescent="0.25">
      <c r="A163" s="23" t="str">
        <f t="shared" si="4"/>
        <v>Please select an account</v>
      </c>
      <c r="B163" s="24" t="str">
        <f t="shared" si="5"/>
        <v>Please enter a date</v>
      </c>
      <c r="C163" s="11"/>
      <c r="D163" s="12"/>
      <c r="E163" s="6"/>
      <c r="F163" s="13"/>
      <c r="G163" s="9"/>
      <c r="H163" s="7"/>
      <c r="I163" s="7"/>
    </row>
    <row r="164" spans="1:9" x14ac:dyDescent="0.25">
      <c r="A164" s="23" t="str">
        <f t="shared" si="4"/>
        <v>Please select an account</v>
      </c>
      <c r="B164" s="24" t="str">
        <f t="shared" si="5"/>
        <v>Please enter a date</v>
      </c>
      <c r="C164" s="11"/>
      <c r="D164" s="12"/>
      <c r="E164" s="6"/>
      <c r="F164" s="13"/>
      <c r="G164" s="9"/>
      <c r="H164" s="7"/>
      <c r="I164" s="7"/>
    </row>
    <row r="165" spans="1:9" x14ac:dyDescent="0.25">
      <c r="A165" s="23" t="str">
        <f t="shared" si="4"/>
        <v>Please select an account</v>
      </c>
      <c r="B165" s="24" t="str">
        <f t="shared" si="5"/>
        <v>Please enter a date</v>
      </c>
      <c r="C165" s="11"/>
      <c r="D165" s="12"/>
      <c r="E165" s="6"/>
      <c r="F165" s="13"/>
      <c r="G165" s="9"/>
      <c r="H165" s="7"/>
      <c r="I165" s="7"/>
    </row>
    <row r="166" spans="1:9" x14ac:dyDescent="0.25">
      <c r="A166" s="23" t="str">
        <f t="shared" si="4"/>
        <v>Please select an account</v>
      </c>
      <c r="B166" s="24" t="str">
        <f t="shared" si="5"/>
        <v>Please enter a date</v>
      </c>
      <c r="C166" s="11"/>
      <c r="D166" s="12"/>
      <c r="E166" s="6"/>
      <c r="F166" s="13"/>
      <c r="G166" s="9"/>
      <c r="H166" s="7"/>
      <c r="I166" s="7"/>
    </row>
    <row r="167" spans="1:9" x14ac:dyDescent="0.25">
      <c r="A167" s="23" t="str">
        <f t="shared" si="4"/>
        <v>Please select an account</v>
      </c>
      <c r="B167" s="24" t="str">
        <f t="shared" si="5"/>
        <v>Please enter a date</v>
      </c>
      <c r="C167" s="11"/>
      <c r="D167" s="12"/>
      <c r="E167" s="6"/>
      <c r="F167" s="13"/>
      <c r="G167" s="9"/>
      <c r="H167" s="7"/>
      <c r="I167" s="7"/>
    </row>
    <row r="168" spans="1:9" x14ac:dyDescent="0.25">
      <c r="A168" s="23" t="str">
        <f t="shared" si="4"/>
        <v>Please select an account</v>
      </c>
      <c r="B168" s="24" t="str">
        <f t="shared" si="5"/>
        <v>Please enter a date</v>
      </c>
      <c r="C168" s="11"/>
      <c r="D168" s="12"/>
      <c r="E168" s="6"/>
      <c r="F168" s="13"/>
      <c r="G168" s="9"/>
      <c r="H168" s="7"/>
      <c r="I168" s="7"/>
    </row>
    <row r="169" spans="1:9" x14ac:dyDescent="0.25">
      <c r="A169" s="23" t="str">
        <f t="shared" si="4"/>
        <v>Please select an account</v>
      </c>
      <c r="B169" s="24" t="str">
        <f t="shared" si="5"/>
        <v>Please enter a date</v>
      </c>
      <c r="C169" s="11"/>
      <c r="D169" s="12"/>
      <c r="E169" s="6"/>
      <c r="F169" s="13"/>
      <c r="G169" s="9"/>
      <c r="H169" s="7"/>
      <c r="I169" s="7"/>
    </row>
    <row r="170" spans="1:9" x14ac:dyDescent="0.25">
      <c r="A170" s="23" t="str">
        <f t="shared" si="4"/>
        <v>Please select an account</v>
      </c>
      <c r="B170" s="24" t="str">
        <f t="shared" si="5"/>
        <v>Please enter a date</v>
      </c>
      <c r="C170" s="11"/>
      <c r="D170" s="12"/>
      <c r="E170" s="6"/>
      <c r="F170" s="13"/>
      <c r="G170" s="9"/>
      <c r="H170" s="7"/>
      <c r="I170" s="7"/>
    </row>
    <row r="171" spans="1:9" x14ac:dyDescent="0.25">
      <c r="A171" s="23" t="str">
        <f t="shared" si="4"/>
        <v>Please select an account</v>
      </c>
      <c r="B171" s="24" t="str">
        <f t="shared" si="5"/>
        <v>Please enter a date</v>
      </c>
      <c r="C171" s="11"/>
      <c r="D171" s="12"/>
      <c r="E171" s="6"/>
      <c r="F171" s="13"/>
      <c r="G171" s="9"/>
      <c r="H171" s="7"/>
      <c r="I171" s="7"/>
    </row>
    <row r="172" spans="1:9" x14ac:dyDescent="0.25">
      <c r="A172" s="23" t="str">
        <f t="shared" si="4"/>
        <v>Please select an account</v>
      </c>
      <c r="B172" s="24" t="str">
        <f t="shared" si="5"/>
        <v>Please enter a date</v>
      </c>
      <c r="C172" s="11"/>
      <c r="D172" s="12"/>
      <c r="E172" s="6"/>
      <c r="F172" s="13"/>
      <c r="G172" s="9"/>
      <c r="H172" s="7"/>
      <c r="I172" s="7"/>
    </row>
    <row r="173" spans="1:9" x14ac:dyDescent="0.25">
      <c r="A173" s="23" t="str">
        <f t="shared" si="4"/>
        <v>Please select an account</v>
      </c>
      <c r="B173" s="24" t="str">
        <f t="shared" si="5"/>
        <v>Please enter a date</v>
      </c>
      <c r="C173" s="11"/>
      <c r="D173" s="12"/>
      <c r="E173" s="6"/>
      <c r="F173" s="13"/>
      <c r="G173" s="9"/>
      <c r="H173" s="7"/>
      <c r="I173" s="7"/>
    </row>
    <row r="174" spans="1:9" x14ac:dyDescent="0.25">
      <c r="A174" s="23" t="str">
        <f t="shared" si="4"/>
        <v>Please select an account</v>
      </c>
      <c r="B174" s="24" t="str">
        <f t="shared" si="5"/>
        <v>Please enter a date</v>
      </c>
      <c r="C174" s="11"/>
      <c r="D174" s="12"/>
      <c r="E174" s="6"/>
      <c r="F174" s="13"/>
      <c r="G174" s="9"/>
      <c r="H174" s="7"/>
      <c r="I174" s="7"/>
    </row>
    <row r="175" spans="1:9" x14ac:dyDescent="0.25">
      <c r="A175" s="23" t="str">
        <f t="shared" si="4"/>
        <v>Please select an account</v>
      </c>
      <c r="B175" s="24" t="str">
        <f t="shared" si="5"/>
        <v>Please enter a date</v>
      </c>
      <c r="C175" s="11"/>
      <c r="D175" s="12"/>
      <c r="E175" s="6"/>
      <c r="F175" s="13"/>
      <c r="G175" s="9"/>
      <c r="H175" s="7"/>
      <c r="I175" s="7"/>
    </row>
    <row r="176" spans="1:9" x14ac:dyDescent="0.25">
      <c r="A176" s="23" t="str">
        <f t="shared" si="4"/>
        <v>Please select an account</v>
      </c>
      <c r="B176" s="24" t="str">
        <f t="shared" si="5"/>
        <v>Please enter a date</v>
      </c>
      <c r="C176" s="11"/>
      <c r="D176" s="12"/>
      <c r="E176" s="6"/>
      <c r="F176" s="13"/>
      <c r="G176" s="9"/>
      <c r="H176" s="7"/>
      <c r="I176" s="7"/>
    </row>
    <row r="177" spans="1:9" x14ac:dyDescent="0.25">
      <c r="A177" s="23" t="str">
        <f t="shared" si="4"/>
        <v>Please select an account</v>
      </c>
      <c r="B177" s="24" t="str">
        <f t="shared" si="5"/>
        <v>Please enter a date</v>
      </c>
      <c r="C177" s="11"/>
      <c r="D177" s="12"/>
      <c r="E177" s="6"/>
      <c r="F177" s="13"/>
      <c r="G177" s="9"/>
      <c r="H177" s="7"/>
      <c r="I177" s="7"/>
    </row>
    <row r="178" spans="1:9" x14ac:dyDescent="0.25">
      <c r="A178" s="23" t="str">
        <f t="shared" si="4"/>
        <v>Please select an account</v>
      </c>
      <c r="B178" s="24" t="str">
        <f t="shared" si="5"/>
        <v>Please enter a date</v>
      </c>
      <c r="C178" s="11"/>
      <c r="D178" s="12"/>
      <c r="E178" s="6"/>
      <c r="F178" s="13"/>
      <c r="G178" s="9"/>
      <c r="H178" s="7"/>
      <c r="I178" s="7"/>
    </row>
    <row r="179" spans="1:9" x14ac:dyDescent="0.25">
      <c r="A179" s="23" t="str">
        <f t="shared" si="4"/>
        <v>Please select an account</v>
      </c>
      <c r="B179" s="24" t="str">
        <f t="shared" si="5"/>
        <v>Please enter a date</v>
      </c>
      <c r="C179" s="11"/>
      <c r="D179" s="12"/>
      <c r="E179" s="6"/>
      <c r="F179" s="13"/>
      <c r="G179" s="9"/>
      <c r="H179" s="7"/>
      <c r="I179" s="7"/>
    </row>
    <row r="180" spans="1:9" x14ac:dyDescent="0.25">
      <c r="A180" s="23" t="str">
        <f t="shared" si="4"/>
        <v>Please select an account</v>
      </c>
      <c r="B180" s="24" t="str">
        <f t="shared" si="5"/>
        <v>Please enter a date</v>
      </c>
      <c r="C180" s="11"/>
      <c r="D180" s="12"/>
      <c r="E180" s="6"/>
      <c r="F180" s="13"/>
      <c r="G180" s="9"/>
      <c r="H180" s="7"/>
      <c r="I180" s="7"/>
    </row>
    <row r="181" spans="1:9" x14ac:dyDescent="0.25">
      <c r="A181" s="23" t="str">
        <f t="shared" si="4"/>
        <v>Please select an account</v>
      </c>
      <c r="B181" s="24" t="str">
        <f t="shared" si="5"/>
        <v>Please enter a date</v>
      </c>
      <c r="C181" s="11"/>
      <c r="D181" s="12"/>
      <c r="E181" s="6"/>
      <c r="F181" s="13"/>
      <c r="G181" s="9"/>
      <c r="H181" s="7"/>
      <c r="I181" s="7"/>
    </row>
    <row r="182" spans="1:9" x14ac:dyDescent="0.25">
      <c r="A182" s="23" t="str">
        <f t="shared" si="4"/>
        <v>Please select an account</v>
      </c>
      <c r="B182" s="24" t="str">
        <f t="shared" si="5"/>
        <v>Please enter a date</v>
      </c>
      <c r="C182" s="11"/>
      <c r="D182" s="12"/>
      <c r="E182" s="6"/>
      <c r="F182" s="13"/>
      <c r="G182" s="9"/>
      <c r="H182" s="7"/>
      <c r="I182" s="7"/>
    </row>
    <row r="183" spans="1:9" x14ac:dyDescent="0.25">
      <c r="A183" s="23" t="str">
        <f t="shared" si="4"/>
        <v>Please select an account</v>
      </c>
      <c r="B183" s="24" t="str">
        <f t="shared" si="5"/>
        <v>Please enter a date</v>
      </c>
      <c r="C183" s="11"/>
      <c r="D183" s="12"/>
      <c r="E183" s="6"/>
      <c r="F183" s="13"/>
      <c r="G183" s="9"/>
      <c r="H183" s="7"/>
      <c r="I183" s="7"/>
    </row>
    <row r="184" spans="1:9" x14ac:dyDescent="0.25">
      <c r="A184" s="23" t="str">
        <f t="shared" si="4"/>
        <v>Please select an account</v>
      </c>
      <c r="B184" s="24" t="str">
        <f t="shared" si="5"/>
        <v>Please enter a date</v>
      </c>
      <c r="C184" s="11"/>
      <c r="D184" s="12"/>
      <c r="E184" s="6"/>
      <c r="F184" s="13"/>
      <c r="G184" s="9"/>
      <c r="H184" s="7"/>
      <c r="I184" s="7"/>
    </row>
    <row r="185" spans="1:9" x14ac:dyDescent="0.25">
      <c r="A185" s="23" t="str">
        <f t="shared" si="4"/>
        <v>Please select an account</v>
      </c>
      <c r="B185" s="24" t="str">
        <f t="shared" si="5"/>
        <v>Please enter a date</v>
      </c>
      <c r="C185" s="11"/>
      <c r="D185" s="12"/>
      <c r="E185" s="6"/>
      <c r="F185" s="13"/>
      <c r="G185" s="9"/>
      <c r="H185" s="7"/>
      <c r="I185" s="7"/>
    </row>
    <row r="186" spans="1:9" x14ac:dyDescent="0.25">
      <c r="A186" s="23" t="str">
        <f t="shared" si="4"/>
        <v>Please select an account</v>
      </c>
      <c r="B186" s="24" t="str">
        <f t="shared" si="5"/>
        <v>Please enter a date</v>
      </c>
      <c r="C186" s="11"/>
      <c r="D186" s="12"/>
      <c r="E186" s="6"/>
      <c r="F186" s="13"/>
      <c r="G186" s="9"/>
      <c r="H186" s="7"/>
      <c r="I186" s="7"/>
    </row>
    <row r="187" spans="1:9" x14ac:dyDescent="0.25">
      <c r="A187" s="23" t="str">
        <f t="shared" si="4"/>
        <v>Please select an account</v>
      </c>
      <c r="B187" s="24" t="str">
        <f t="shared" si="5"/>
        <v>Please enter a date</v>
      </c>
      <c r="C187" s="11"/>
      <c r="D187" s="12"/>
      <c r="E187" s="6"/>
      <c r="F187" s="13"/>
      <c r="G187" s="9"/>
      <c r="H187" s="7"/>
      <c r="I187" s="7"/>
    </row>
    <row r="188" spans="1:9" x14ac:dyDescent="0.25">
      <c r="A188" s="23" t="str">
        <f t="shared" si="4"/>
        <v>Please select an account</v>
      </c>
      <c r="B188" s="24" t="str">
        <f t="shared" si="5"/>
        <v>Please enter a date</v>
      </c>
      <c r="C188" s="11"/>
      <c r="D188" s="12"/>
      <c r="E188" s="6"/>
      <c r="F188" s="13"/>
      <c r="G188" s="9"/>
      <c r="H188" s="7"/>
      <c r="I188" s="7"/>
    </row>
    <row r="189" spans="1:9" x14ac:dyDescent="0.25">
      <c r="A189" s="23" t="str">
        <f t="shared" si="4"/>
        <v>Please select an account</v>
      </c>
      <c r="B189" s="24" t="str">
        <f t="shared" si="5"/>
        <v>Please enter a date</v>
      </c>
      <c r="C189" s="11"/>
      <c r="D189" s="12"/>
      <c r="E189" s="6"/>
      <c r="F189" s="13"/>
      <c r="G189" s="9"/>
      <c r="H189" s="7"/>
      <c r="I189" s="7"/>
    </row>
    <row r="190" spans="1:9" x14ac:dyDescent="0.25">
      <c r="A190" s="23" t="str">
        <f t="shared" si="4"/>
        <v>Please select an account</v>
      </c>
      <c r="B190" s="24" t="str">
        <f t="shared" si="5"/>
        <v>Please enter a date</v>
      </c>
      <c r="C190" s="11"/>
      <c r="D190" s="12"/>
      <c r="E190" s="6"/>
      <c r="F190" s="13"/>
      <c r="G190" s="9"/>
      <c r="H190" s="7"/>
      <c r="I190" s="7"/>
    </row>
    <row r="191" spans="1:9" x14ac:dyDescent="0.25">
      <c r="A191" s="23" t="str">
        <f t="shared" si="4"/>
        <v>Please select an account</v>
      </c>
      <c r="B191" s="24" t="str">
        <f t="shared" si="5"/>
        <v>Please enter a date</v>
      </c>
      <c r="C191" s="11"/>
      <c r="D191" s="12"/>
      <c r="E191" s="6"/>
      <c r="F191" s="13"/>
      <c r="G191" s="9"/>
      <c r="H191" s="7"/>
      <c r="I191" s="7"/>
    </row>
    <row r="192" spans="1:9" x14ac:dyDescent="0.25">
      <c r="A192" s="23" t="str">
        <f t="shared" si="4"/>
        <v>Please select an account</v>
      </c>
      <c r="B192" s="24" t="str">
        <f t="shared" si="5"/>
        <v>Please enter a date</v>
      </c>
      <c r="C192" s="11"/>
      <c r="D192" s="12"/>
      <c r="E192" s="6"/>
      <c r="F192" s="13"/>
      <c r="G192" s="9"/>
      <c r="H192" s="7"/>
      <c r="I192" s="7"/>
    </row>
    <row r="193" spans="1:9" x14ac:dyDescent="0.25">
      <c r="A193" s="23" t="str">
        <f t="shared" si="4"/>
        <v>Please select an account</v>
      </c>
      <c r="B193" s="24" t="str">
        <f t="shared" si="5"/>
        <v>Please enter a date</v>
      </c>
      <c r="C193" s="11"/>
      <c r="D193" s="12"/>
      <c r="E193" s="6"/>
      <c r="F193" s="13"/>
      <c r="G193" s="9"/>
      <c r="H193" s="7"/>
      <c r="I193" s="7"/>
    </row>
    <row r="194" spans="1:9" x14ac:dyDescent="0.25">
      <c r="A194" s="23" t="str">
        <f t="shared" si="4"/>
        <v>Please select an account</v>
      </c>
      <c r="B194" s="24" t="str">
        <f t="shared" si="5"/>
        <v>Please enter a date</v>
      </c>
      <c r="C194" s="11"/>
      <c r="D194" s="12"/>
      <c r="E194" s="6"/>
      <c r="F194" s="13"/>
      <c r="G194" s="9"/>
      <c r="H194" s="7"/>
      <c r="I194" s="7"/>
    </row>
    <row r="195" spans="1:9" x14ac:dyDescent="0.25">
      <c r="A195" s="23" t="str">
        <f t="shared" si="4"/>
        <v>Please select an account</v>
      </c>
      <c r="B195" s="24" t="str">
        <f t="shared" si="5"/>
        <v>Please enter a date</v>
      </c>
      <c r="C195" s="11"/>
      <c r="D195" s="12"/>
      <c r="E195" s="6"/>
      <c r="F195" s="13"/>
      <c r="G195" s="9"/>
      <c r="H195" s="7"/>
      <c r="I195" s="7"/>
    </row>
    <row r="196" spans="1:9" x14ac:dyDescent="0.25">
      <c r="A196" s="23" t="str">
        <f t="shared" si="4"/>
        <v>Please select an account</v>
      </c>
      <c r="B196" s="24" t="str">
        <f t="shared" si="5"/>
        <v>Please enter a date</v>
      </c>
      <c r="C196" s="11"/>
      <c r="D196" s="12"/>
      <c r="E196" s="6"/>
      <c r="F196" s="13"/>
      <c r="G196" s="9"/>
      <c r="H196" s="7"/>
      <c r="I196" s="7"/>
    </row>
    <row r="197" spans="1:9" x14ac:dyDescent="0.25">
      <c r="A197" s="23" t="str">
        <f t="shared" si="4"/>
        <v>Please select an account</v>
      </c>
      <c r="B197" s="24" t="str">
        <f t="shared" si="5"/>
        <v>Please enter a date</v>
      </c>
      <c r="C197" s="11"/>
      <c r="D197" s="12"/>
      <c r="E197" s="6"/>
      <c r="F197" s="13"/>
      <c r="G197" s="9"/>
      <c r="H197" s="7"/>
      <c r="I197" s="7"/>
    </row>
    <row r="198" spans="1:9" x14ac:dyDescent="0.25">
      <c r="A198" s="23" t="str">
        <f t="shared" ref="A198:A261" si="6">IF($A$2=0,"Please select an account",$A$2)</f>
        <v>Please select an account</v>
      </c>
      <c r="B198" s="24" t="str">
        <f t="shared" ref="B198:B261" si="7">IF(TEXT($B$2,"YYYY-MM-DD")&lt;&gt;"1900-01-00",TEXT($B$2,"YYYY-MM-DD"),"Please enter a date")</f>
        <v>Please enter a date</v>
      </c>
      <c r="C198" s="11"/>
      <c r="D198" s="12"/>
      <c r="E198" s="6"/>
      <c r="F198" s="13"/>
      <c r="G198" s="9"/>
      <c r="H198" s="7"/>
      <c r="I198" s="7"/>
    </row>
    <row r="199" spans="1:9" x14ac:dyDescent="0.25">
      <c r="A199" s="23" t="str">
        <f t="shared" si="6"/>
        <v>Please select an account</v>
      </c>
      <c r="B199" s="24" t="str">
        <f t="shared" si="7"/>
        <v>Please enter a date</v>
      </c>
      <c r="C199" s="11"/>
      <c r="D199" s="12"/>
      <c r="E199" s="6"/>
      <c r="F199" s="13"/>
      <c r="G199" s="9"/>
      <c r="H199" s="7"/>
      <c r="I199" s="7"/>
    </row>
    <row r="200" spans="1:9" x14ac:dyDescent="0.25">
      <c r="A200" s="23" t="str">
        <f t="shared" si="6"/>
        <v>Please select an account</v>
      </c>
      <c r="B200" s="24" t="str">
        <f t="shared" si="7"/>
        <v>Please enter a date</v>
      </c>
      <c r="C200" s="11"/>
      <c r="D200" s="12"/>
      <c r="E200" s="6"/>
      <c r="F200" s="13"/>
      <c r="G200" s="9"/>
      <c r="H200" s="7"/>
      <c r="I200" s="7"/>
    </row>
    <row r="201" spans="1:9" x14ac:dyDescent="0.25">
      <c r="A201" s="23" t="str">
        <f t="shared" si="6"/>
        <v>Please select an account</v>
      </c>
      <c r="B201" s="24" t="str">
        <f t="shared" si="7"/>
        <v>Please enter a date</v>
      </c>
      <c r="C201" s="11"/>
      <c r="D201" s="12"/>
      <c r="E201" s="6"/>
      <c r="F201" s="13"/>
      <c r="G201" s="9"/>
      <c r="H201" s="7"/>
      <c r="I201" s="7"/>
    </row>
    <row r="202" spans="1:9" x14ac:dyDescent="0.25">
      <c r="A202" s="23" t="str">
        <f t="shared" si="6"/>
        <v>Please select an account</v>
      </c>
      <c r="B202" s="24" t="str">
        <f t="shared" si="7"/>
        <v>Please enter a date</v>
      </c>
      <c r="C202" s="11"/>
      <c r="D202" s="12"/>
      <c r="E202" s="6"/>
      <c r="F202" s="13"/>
      <c r="G202" s="9"/>
      <c r="H202" s="7"/>
      <c r="I202" s="7"/>
    </row>
    <row r="203" spans="1:9" x14ac:dyDescent="0.25">
      <c r="A203" s="23" t="str">
        <f t="shared" si="6"/>
        <v>Please select an account</v>
      </c>
      <c r="B203" s="24" t="str">
        <f t="shared" si="7"/>
        <v>Please enter a date</v>
      </c>
      <c r="C203" s="11"/>
      <c r="D203" s="12"/>
      <c r="E203" s="6"/>
      <c r="F203" s="13"/>
      <c r="G203" s="9"/>
      <c r="H203" s="7"/>
      <c r="I203" s="7"/>
    </row>
    <row r="204" spans="1:9" x14ac:dyDescent="0.25">
      <c r="A204" s="23" t="str">
        <f t="shared" si="6"/>
        <v>Please select an account</v>
      </c>
      <c r="B204" s="24" t="str">
        <f t="shared" si="7"/>
        <v>Please enter a date</v>
      </c>
      <c r="C204" s="11"/>
      <c r="D204" s="12"/>
      <c r="E204" s="6"/>
      <c r="F204" s="13"/>
      <c r="G204" s="9"/>
      <c r="H204" s="7"/>
      <c r="I204" s="7"/>
    </row>
    <row r="205" spans="1:9" x14ac:dyDescent="0.25">
      <c r="A205" s="23" t="str">
        <f t="shared" si="6"/>
        <v>Please select an account</v>
      </c>
      <c r="B205" s="24" t="str">
        <f t="shared" si="7"/>
        <v>Please enter a date</v>
      </c>
      <c r="C205" s="11"/>
      <c r="D205" s="12"/>
      <c r="E205" s="6"/>
      <c r="F205" s="13"/>
      <c r="G205" s="9"/>
      <c r="H205" s="7"/>
      <c r="I205" s="7"/>
    </row>
    <row r="206" spans="1:9" x14ac:dyDescent="0.25">
      <c r="A206" s="23" t="str">
        <f t="shared" si="6"/>
        <v>Please select an account</v>
      </c>
      <c r="B206" s="24" t="str">
        <f t="shared" si="7"/>
        <v>Please enter a date</v>
      </c>
      <c r="C206" s="11"/>
      <c r="D206" s="12"/>
      <c r="E206" s="6"/>
      <c r="F206" s="13"/>
      <c r="G206" s="9"/>
      <c r="H206" s="7"/>
      <c r="I206" s="7"/>
    </row>
    <row r="207" spans="1:9" x14ac:dyDescent="0.25">
      <c r="A207" s="23" t="str">
        <f t="shared" si="6"/>
        <v>Please select an account</v>
      </c>
      <c r="B207" s="24" t="str">
        <f t="shared" si="7"/>
        <v>Please enter a date</v>
      </c>
      <c r="C207" s="11"/>
      <c r="D207" s="12"/>
      <c r="E207" s="6"/>
      <c r="F207" s="13"/>
      <c r="G207" s="9"/>
      <c r="H207" s="7"/>
      <c r="I207" s="7"/>
    </row>
    <row r="208" spans="1:9" x14ac:dyDescent="0.25">
      <c r="A208" s="23" t="str">
        <f t="shared" si="6"/>
        <v>Please select an account</v>
      </c>
      <c r="B208" s="24" t="str">
        <f t="shared" si="7"/>
        <v>Please enter a date</v>
      </c>
      <c r="C208" s="11"/>
      <c r="D208" s="12"/>
      <c r="E208" s="6"/>
      <c r="F208" s="13"/>
      <c r="G208" s="9"/>
      <c r="H208" s="7"/>
      <c r="I208" s="7"/>
    </row>
    <row r="209" spans="1:9" x14ac:dyDescent="0.25">
      <c r="A209" s="23" t="str">
        <f t="shared" si="6"/>
        <v>Please select an account</v>
      </c>
      <c r="B209" s="24" t="str">
        <f t="shared" si="7"/>
        <v>Please enter a date</v>
      </c>
      <c r="C209" s="11"/>
      <c r="D209" s="12"/>
      <c r="E209" s="6"/>
      <c r="F209" s="13"/>
      <c r="G209" s="9"/>
      <c r="H209" s="7"/>
      <c r="I209" s="7"/>
    </row>
    <row r="210" spans="1:9" x14ac:dyDescent="0.25">
      <c r="A210" s="23" t="str">
        <f t="shared" si="6"/>
        <v>Please select an account</v>
      </c>
      <c r="B210" s="24" t="str">
        <f t="shared" si="7"/>
        <v>Please enter a date</v>
      </c>
      <c r="C210" s="11"/>
      <c r="D210" s="12"/>
      <c r="E210" s="6"/>
      <c r="F210" s="13"/>
      <c r="G210" s="9"/>
      <c r="H210" s="7"/>
      <c r="I210" s="7"/>
    </row>
    <row r="211" spans="1:9" x14ac:dyDescent="0.25">
      <c r="A211" s="23" t="str">
        <f t="shared" si="6"/>
        <v>Please select an account</v>
      </c>
      <c r="B211" s="24" t="str">
        <f t="shared" si="7"/>
        <v>Please enter a date</v>
      </c>
      <c r="C211" s="11"/>
      <c r="D211" s="12"/>
      <c r="E211" s="6"/>
      <c r="F211" s="13"/>
      <c r="G211" s="9"/>
      <c r="H211" s="7"/>
      <c r="I211" s="7"/>
    </row>
    <row r="212" spans="1:9" x14ac:dyDescent="0.25">
      <c r="A212" s="23" t="str">
        <f t="shared" si="6"/>
        <v>Please select an account</v>
      </c>
      <c r="B212" s="24" t="str">
        <f t="shared" si="7"/>
        <v>Please enter a date</v>
      </c>
      <c r="C212" s="11"/>
      <c r="D212" s="12"/>
      <c r="E212" s="6"/>
      <c r="F212" s="13"/>
      <c r="G212" s="9"/>
      <c r="H212" s="7"/>
      <c r="I212" s="7"/>
    </row>
    <row r="213" spans="1:9" x14ac:dyDescent="0.25">
      <c r="A213" s="23" t="str">
        <f t="shared" si="6"/>
        <v>Please select an account</v>
      </c>
      <c r="B213" s="24" t="str">
        <f t="shared" si="7"/>
        <v>Please enter a date</v>
      </c>
      <c r="C213" s="11"/>
      <c r="D213" s="12"/>
      <c r="E213" s="6"/>
      <c r="F213" s="13"/>
      <c r="G213" s="9"/>
      <c r="H213" s="7"/>
      <c r="I213" s="7"/>
    </row>
    <row r="214" spans="1:9" x14ac:dyDescent="0.25">
      <c r="A214" s="23" t="str">
        <f t="shared" si="6"/>
        <v>Please select an account</v>
      </c>
      <c r="B214" s="24" t="str">
        <f t="shared" si="7"/>
        <v>Please enter a date</v>
      </c>
      <c r="C214" s="11"/>
      <c r="D214" s="12"/>
      <c r="E214" s="6"/>
      <c r="F214" s="13"/>
      <c r="G214" s="9"/>
      <c r="H214" s="7"/>
      <c r="I214" s="7"/>
    </row>
    <row r="215" spans="1:9" x14ac:dyDescent="0.25">
      <c r="A215" s="23" t="str">
        <f t="shared" si="6"/>
        <v>Please select an account</v>
      </c>
      <c r="B215" s="24" t="str">
        <f t="shared" si="7"/>
        <v>Please enter a date</v>
      </c>
      <c r="C215" s="11"/>
      <c r="D215" s="12"/>
      <c r="E215" s="6"/>
      <c r="F215" s="13"/>
      <c r="G215" s="9"/>
      <c r="H215" s="7"/>
      <c r="I215" s="7"/>
    </row>
    <row r="216" spans="1:9" x14ac:dyDescent="0.25">
      <c r="A216" s="23" t="str">
        <f t="shared" si="6"/>
        <v>Please select an account</v>
      </c>
      <c r="B216" s="24" t="str">
        <f t="shared" si="7"/>
        <v>Please enter a date</v>
      </c>
      <c r="C216" s="11"/>
      <c r="D216" s="12"/>
      <c r="E216" s="6"/>
      <c r="F216" s="13"/>
      <c r="G216" s="9"/>
      <c r="H216" s="7"/>
      <c r="I216" s="7"/>
    </row>
    <row r="217" spans="1:9" x14ac:dyDescent="0.25">
      <c r="A217" s="23" t="str">
        <f t="shared" si="6"/>
        <v>Please select an account</v>
      </c>
      <c r="B217" s="24" t="str">
        <f t="shared" si="7"/>
        <v>Please enter a date</v>
      </c>
      <c r="C217" s="11"/>
      <c r="D217" s="12"/>
      <c r="E217" s="6"/>
      <c r="F217" s="13"/>
      <c r="G217" s="9"/>
      <c r="H217" s="7"/>
      <c r="I217" s="7"/>
    </row>
    <row r="218" spans="1:9" x14ac:dyDescent="0.25">
      <c r="A218" s="23" t="str">
        <f t="shared" si="6"/>
        <v>Please select an account</v>
      </c>
      <c r="B218" s="24" t="str">
        <f t="shared" si="7"/>
        <v>Please enter a date</v>
      </c>
      <c r="C218" s="11"/>
      <c r="D218" s="12"/>
      <c r="E218" s="6"/>
      <c r="F218" s="13"/>
      <c r="G218" s="9"/>
      <c r="H218" s="7"/>
      <c r="I218" s="7"/>
    </row>
    <row r="219" spans="1:9" x14ac:dyDescent="0.25">
      <c r="A219" s="23" t="str">
        <f t="shared" si="6"/>
        <v>Please select an account</v>
      </c>
      <c r="B219" s="24" t="str">
        <f t="shared" si="7"/>
        <v>Please enter a date</v>
      </c>
      <c r="C219" s="11"/>
      <c r="D219" s="12"/>
      <c r="E219" s="6"/>
      <c r="F219" s="13"/>
      <c r="G219" s="9"/>
      <c r="H219" s="7"/>
      <c r="I219" s="7"/>
    </row>
    <row r="220" spans="1:9" x14ac:dyDescent="0.25">
      <c r="A220" s="23" t="str">
        <f t="shared" si="6"/>
        <v>Please select an account</v>
      </c>
      <c r="B220" s="24" t="str">
        <f t="shared" si="7"/>
        <v>Please enter a date</v>
      </c>
      <c r="C220" s="11"/>
      <c r="D220" s="12"/>
      <c r="E220" s="6"/>
      <c r="F220" s="13"/>
      <c r="G220" s="9"/>
      <c r="H220" s="7"/>
      <c r="I220" s="7"/>
    </row>
    <row r="221" spans="1:9" x14ac:dyDescent="0.25">
      <c r="A221" s="23" t="str">
        <f t="shared" si="6"/>
        <v>Please select an account</v>
      </c>
      <c r="B221" s="24" t="str">
        <f t="shared" si="7"/>
        <v>Please enter a date</v>
      </c>
      <c r="C221" s="11"/>
      <c r="D221" s="12"/>
      <c r="E221" s="6"/>
      <c r="F221" s="13"/>
      <c r="G221" s="9"/>
      <c r="H221" s="7"/>
      <c r="I221" s="7"/>
    </row>
    <row r="222" spans="1:9" x14ac:dyDescent="0.25">
      <c r="A222" s="23" t="str">
        <f t="shared" si="6"/>
        <v>Please select an account</v>
      </c>
      <c r="B222" s="24" t="str">
        <f t="shared" si="7"/>
        <v>Please enter a date</v>
      </c>
      <c r="C222" s="11"/>
      <c r="D222" s="12"/>
      <c r="E222" s="6"/>
      <c r="F222" s="13"/>
      <c r="G222" s="9"/>
      <c r="H222" s="7"/>
      <c r="I222" s="7"/>
    </row>
    <row r="223" spans="1:9" x14ac:dyDescent="0.25">
      <c r="A223" s="23" t="str">
        <f t="shared" si="6"/>
        <v>Please select an account</v>
      </c>
      <c r="B223" s="24" t="str">
        <f t="shared" si="7"/>
        <v>Please enter a date</v>
      </c>
      <c r="C223" s="11"/>
      <c r="D223" s="12"/>
      <c r="E223" s="6"/>
      <c r="F223" s="13"/>
      <c r="G223" s="9"/>
      <c r="H223" s="7"/>
      <c r="I223" s="7"/>
    </row>
    <row r="224" spans="1:9" x14ac:dyDescent="0.25">
      <c r="A224" s="23" t="str">
        <f t="shared" si="6"/>
        <v>Please select an account</v>
      </c>
      <c r="B224" s="24" t="str">
        <f t="shared" si="7"/>
        <v>Please enter a date</v>
      </c>
      <c r="C224" s="11"/>
      <c r="D224" s="12"/>
      <c r="E224" s="6"/>
      <c r="F224" s="13"/>
      <c r="G224" s="9"/>
      <c r="H224" s="7"/>
      <c r="I224" s="7"/>
    </row>
    <row r="225" spans="1:9" x14ac:dyDescent="0.25">
      <c r="A225" s="23" t="str">
        <f t="shared" si="6"/>
        <v>Please select an account</v>
      </c>
      <c r="B225" s="24" t="str">
        <f t="shared" si="7"/>
        <v>Please enter a date</v>
      </c>
      <c r="C225" s="11"/>
      <c r="D225" s="12"/>
      <c r="E225" s="6"/>
      <c r="F225" s="13"/>
      <c r="G225" s="9"/>
      <c r="H225" s="7"/>
      <c r="I225" s="7"/>
    </row>
    <row r="226" spans="1:9" x14ac:dyDescent="0.25">
      <c r="A226" s="23" t="str">
        <f t="shared" si="6"/>
        <v>Please select an account</v>
      </c>
      <c r="B226" s="24" t="str">
        <f t="shared" si="7"/>
        <v>Please enter a date</v>
      </c>
      <c r="C226" s="11"/>
      <c r="D226" s="12"/>
      <c r="E226" s="6"/>
      <c r="F226" s="13"/>
      <c r="G226" s="9"/>
      <c r="H226" s="7"/>
      <c r="I226" s="7"/>
    </row>
    <row r="227" spans="1:9" x14ac:dyDescent="0.25">
      <c r="A227" s="23" t="str">
        <f t="shared" si="6"/>
        <v>Please select an account</v>
      </c>
      <c r="B227" s="24" t="str">
        <f t="shared" si="7"/>
        <v>Please enter a date</v>
      </c>
      <c r="C227" s="11"/>
      <c r="D227" s="12"/>
      <c r="E227" s="6"/>
      <c r="F227" s="13"/>
      <c r="G227" s="9"/>
      <c r="H227" s="7"/>
      <c r="I227" s="7"/>
    </row>
    <row r="228" spans="1:9" x14ac:dyDescent="0.25">
      <c r="A228" s="23" t="str">
        <f t="shared" si="6"/>
        <v>Please select an account</v>
      </c>
      <c r="B228" s="24" t="str">
        <f t="shared" si="7"/>
        <v>Please enter a date</v>
      </c>
      <c r="C228" s="11"/>
      <c r="D228" s="12"/>
      <c r="E228" s="6"/>
      <c r="F228" s="13"/>
      <c r="G228" s="9"/>
      <c r="H228" s="7"/>
      <c r="I228" s="7"/>
    </row>
    <row r="229" spans="1:9" x14ac:dyDescent="0.25">
      <c r="A229" s="23" t="str">
        <f t="shared" si="6"/>
        <v>Please select an account</v>
      </c>
      <c r="B229" s="24" t="str">
        <f t="shared" si="7"/>
        <v>Please enter a date</v>
      </c>
      <c r="C229" s="11"/>
      <c r="D229" s="12"/>
      <c r="E229" s="6"/>
      <c r="F229" s="13"/>
      <c r="G229" s="9"/>
      <c r="H229" s="7"/>
      <c r="I229" s="7"/>
    </row>
    <row r="230" spans="1:9" x14ac:dyDescent="0.25">
      <c r="A230" s="23" t="str">
        <f t="shared" si="6"/>
        <v>Please select an account</v>
      </c>
      <c r="B230" s="24" t="str">
        <f t="shared" si="7"/>
        <v>Please enter a date</v>
      </c>
      <c r="C230" s="11"/>
      <c r="D230" s="12"/>
      <c r="E230" s="6"/>
      <c r="F230" s="13"/>
      <c r="G230" s="9"/>
      <c r="H230" s="7"/>
      <c r="I230" s="7"/>
    </row>
    <row r="231" spans="1:9" x14ac:dyDescent="0.25">
      <c r="A231" s="23" t="str">
        <f t="shared" si="6"/>
        <v>Please select an account</v>
      </c>
      <c r="B231" s="24" t="str">
        <f t="shared" si="7"/>
        <v>Please enter a date</v>
      </c>
      <c r="C231" s="11"/>
      <c r="D231" s="12"/>
      <c r="E231" s="6"/>
      <c r="F231" s="13"/>
      <c r="G231" s="9"/>
      <c r="H231" s="7"/>
      <c r="I231" s="7"/>
    </row>
    <row r="232" spans="1:9" x14ac:dyDescent="0.25">
      <c r="A232" s="23" t="str">
        <f t="shared" si="6"/>
        <v>Please select an account</v>
      </c>
      <c r="B232" s="24" t="str">
        <f t="shared" si="7"/>
        <v>Please enter a date</v>
      </c>
      <c r="C232" s="11"/>
      <c r="D232" s="12"/>
      <c r="E232" s="6"/>
      <c r="F232" s="13"/>
      <c r="G232" s="9"/>
      <c r="H232" s="7"/>
      <c r="I232" s="7"/>
    </row>
    <row r="233" spans="1:9" x14ac:dyDescent="0.25">
      <c r="A233" s="23" t="str">
        <f t="shared" si="6"/>
        <v>Please select an account</v>
      </c>
      <c r="B233" s="24" t="str">
        <f t="shared" si="7"/>
        <v>Please enter a date</v>
      </c>
      <c r="C233" s="11"/>
      <c r="D233" s="12"/>
      <c r="E233" s="6"/>
      <c r="F233" s="13"/>
      <c r="G233" s="9"/>
      <c r="H233" s="7"/>
      <c r="I233" s="7"/>
    </row>
    <row r="234" spans="1:9" x14ac:dyDescent="0.25">
      <c r="A234" s="23" t="str">
        <f t="shared" si="6"/>
        <v>Please select an account</v>
      </c>
      <c r="B234" s="24" t="str">
        <f t="shared" si="7"/>
        <v>Please enter a date</v>
      </c>
      <c r="C234" s="11"/>
      <c r="D234" s="12"/>
      <c r="E234" s="6"/>
      <c r="F234" s="13"/>
      <c r="G234" s="9"/>
      <c r="H234" s="7"/>
      <c r="I234" s="7"/>
    </row>
    <row r="235" spans="1:9" x14ac:dyDescent="0.25">
      <c r="A235" s="23" t="str">
        <f t="shared" si="6"/>
        <v>Please select an account</v>
      </c>
      <c r="B235" s="24" t="str">
        <f t="shared" si="7"/>
        <v>Please enter a date</v>
      </c>
      <c r="C235" s="11"/>
      <c r="D235" s="12"/>
      <c r="E235" s="6"/>
      <c r="F235" s="13"/>
      <c r="G235" s="9"/>
      <c r="H235" s="7"/>
      <c r="I235" s="7"/>
    </row>
    <row r="236" spans="1:9" x14ac:dyDescent="0.25">
      <c r="A236" s="23" t="str">
        <f t="shared" si="6"/>
        <v>Please select an account</v>
      </c>
      <c r="B236" s="24" t="str">
        <f t="shared" si="7"/>
        <v>Please enter a date</v>
      </c>
      <c r="C236" s="11"/>
      <c r="D236" s="12"/>
      <c r="E236" s="6"/>
      <c r="F236" s="13"/>
      <c r="G236" s="9"/>
      <c r="H236" s="7"/>
      <c r="I236" s="7"/>
    </row>
    <row r="237" spans="1:9" x14ac:dyDescent="0.25">
      <c r="A237" s="23" t="str">
        <f t="shared" si="6"/>
        <v>Please select an account</v>
      </c>
      <c r="B237" s="24" t="str">
        <f t="shared" si="7"/>
        <v>Please enter a date</v>
      </c>
      <c r="C237" s="11"/>
      <c r="D237" s="12"/>
      <c r="E237" s="6"/>
      <c r="F237" s="13"/>
      <c r="G237" s="9"/>
      <c r="H237" s="7"/>
      <c r="I237" s="7"/>
    </row>
    <row r="238" spans="1:9" x14ac:dyDescent="0.25">
      <c r="A238" s="23" t="str">
        <f t="shared" si="6"/>
        <v>Please select an account</v>
      </c>
      <c r="B238" s="24" t="str">
        <f t="shared" si="7"/>
        <v>Please enter a date</v>
      </c>
      <c r="C238" s="11"/>
      <c r="D238" s="12"/>
      <c r="E238" s="6"/>
      <c r="F238" s="13"/>
      <c r="G238" s="9"/>
      <c r="H238" s="7"/>
      <c r="I238" s="7"/>
    </row>
    <row r="239" spans="1:9" x14ac:dyDescent="0.25">
      <c r="A239" s="23" t="str">
        <f t="shared" si="6"/>
        <v>Please select an account</v>
      </c>
      <c r="B239" s="24" t="str">
        <f t="shared" si="7"/>
        <v>Please enter a date</v>
      </c>
      <c r="C239" s="11"/>
      <c r="D239" s="12"/>
      <c r="E239" s="6"/>
      <c r="F239" s="13"/>
      <c r="G239" s="9"/>
      <c r="H239" s="7"/>
      <c r="I239" s="7"/>
    </row>
    <row r="240" spans="1:9" x14ac:dyDescent="0.25">
      <c r="A240" s="23" t="str">
        <f t="shared" si="6"/>
        <v>Please select an account</v>
      </c>
      <c r="B240" s="24" t="str">
        <f t="shared" si="7"/>
        <v>Please enter a date</v>
      </c>
      <c r="C240" s="11"/>
      <c r="D240" s="12"/>
      <c r="E240" s="6"/>
      <c r="F240" s="13"/>
      <c r="G240" s="9"/>
      <c r="H240" s="7"/>
      <c r="I240" s="7"/>
    </row>
    <row r="241" spans="1:9" x14ac:dyDescent="0.25">
      <c r="A241" s="23" t="str">
        <f t="shared" si="6"/>
        <v>Please select an account</v>
      </c>
      <c r="B241" s="24" t="str">
        <f t="shared" si="7"/>
        <v>Please enter a date</v>
      </c>
      <c r="C241" s="11"/>
      <c r="D241" s="12"/>
      <c r="E241" s="6"/>
      <c r="F241" s="13"/>
      <c r="G241" s="9"/>
      <c r="H241" s="7"/>
      <c r="I241" s="7"/>
    </row>
    <row r="242" spans="1:9" x14ac:dyDescent="0.25">
      <c r="A242" s="23" t="str">
        <f t="shared" si="6"/>
        <v>Please select an account</v>
      </c>
      <c r="B242" s="24" t="str">
        <f t="shared" si="7"/>
        <v>Please enter a date</v>
      </c>
      <c r="C242" s="11"/>
      <c r="D242" s="12"/>
      <c r="E242" s="6"/>
      <c r="F242" s="13"/>
      <c r="G242" s="9"/>
      <c r="H242" s="7"/>
      <c r="I242" s="7"/>
    </row>
    <row r="243" spans="1:9" x14ac:dyDescent="0.25">
      <c r="A243" s="23" t="str">
        <f t="shared" si="6"/>
        <v>Please select an account</v>
      </c>
      <c r="B243" s="24" t="str">
        <f t="shared" si="7"/>
        <v>Please enter a date</v>
      </c>
      <c r="C243" s="11"/>
      <c r="D243" s="12"/>
      <c r="E243" s="6"/>
      <c r="F243" s="13"/>
      <c r="G243" s="9"/>
      <c r="H243" s="7"/>
      <c r="I243" s="7"/>
    </row>
    <row r="244" spans="1:9" x14ac:dyDescent="0.25">
      <c r="A244" s="23" t="str">
        <f t="shared" si="6"/>
        <v>Please select an account</v>
      </c>
      <c r="B244" s="24" t="str">
        <f t="shared" si="7"/>
        <v>Please enter a date</v>
      </c>
      <c r="C244" s="11"/>
      <c r="D244" s="12"/>
      <c r="E244" s="6"/>
      <c r="F244" s="13"/>
      <c r="G244" s="9"/>
      <c r="H244" s="7"/>
      <c r="I244" s="7"/>
    </row>
    <row r="245" spans="1:9" x14ac:dyDescent="0.25">
      <c r="A245" s="23" t="str">
        <f t="shared" si="6"/>
        <v>Please select an account</v>
      </c>
      <c r="B245" s="24" t="str">
        <f t="shared" si="7"/>
        <v>Please enter a date</v>
      </c>
      <c r="C245" s="11"/>
      <c r="D245" s="12"/>
      <c r="E245" s="6"/>
      <c r="F245" s="13"/>
      <c r="G245" s="9"/>
      <c r="H245" s="7"/>
      <c r="I245" s="7"/>
    </row>
    <row r="246" spans="1:9" x14ac:dyDescent="0.25">
      <c r="A246" s="23" t="str">
        <f t="shared" si="6"/>
        <v>Please select an account</v>
      </c>
      <c r="B246" s="24" t="str">
        <f t="shared" si="7"/>
        <v>Please enter a date</v>
      </c>
      <c r="C246" s="11"/>
      <c r="D246" s="12"/>
      <c r="E246" s="6"/>
      <c r="F246" s="13"/>
      <c r="G246" s="9"/>
      <c r="H246" s="7"/>
      <c r="I246" s="7"/>
    </row>
    <row r="247" spans="1:9" x14ac:dyDescent="0.25">
      <c r="A247" s="23" t="str">
        <f t="shared" si="6"/>
        <v>Please select an account</v>
      </c>
      <c r="B247" s="24" t="str">
        <f t="shared" si="7"/>
        <v>Please enter a date</v>
      </c>
      <c r="C247" s="11"/>
      <c r="D247" s="12"/>
      <c r="E247" s="6"/>
      <c r="F247" s="13"/>
      <c r="G247" s="9"/>
      <c r="H247" s="7"/>
      <c r="I247" s="7"/>
    </row>
    <row r="248" spans="1:9" x14ac:dyDescent="0.25">
      <c r="A248" s="23" t="str">
        <f t="shared" si="6"/>
        <v>Please select an account</v>
      </c>
      <c r="B248" s="24" t="str">
        <f t="shared" si="7"/>
        <v>Please enter a date</v>
      </c>
      <c r="C248" s="11"/>
      <c r="D248" s="12"/>
      <c r="E248" s="6"/>
      <c r="F248" s="13"/>
      <c r="G248" s="9"/>
      <c r="H248" s="7"/>
      <c r="I248" s="7"/>
    </row>
    <row r="249" spans="1:9" x14ac:dyDescent="0.25">
      <c r="A249" s="23" t="str">
        <f t="shared" si="6"/>
        <v>Please select an account</v>
      </c>
      <c r="B249" s="24" t="str">
        <f t="shared" si="7"/>
        <v>Please enter a date</v>
      </c>
      <c r="C249" s="11"/>
      <c r="D249" s="12"/>
      <c r="E249" s="6"/>
      <c r="F249" s="13"/>
      <c r="G249" s="9"/>
      <c r="H249" s="7"/>
      <c r="I249" s="7"/>
    </row>
    <row r="250" spans="1:9" x14ac:dyDescent="0.25">
      <c r="A250" s="23" t="str">
        <f t="shared" si="6"/>
        <v>Please select an account</v>
      </c>
      <c r="B250" s="24" t="str">
        <f t="shared" si="7"/>
        <v>Please enter a date</v>
      </c>
      <c r="C250" s="11"/>
      <c r="D250" s="12"/>
      <c r="E250" s="6"/>
      <c r="F250" s="13"/>
      <c r="G250" s="9"/>
      <c r="H250" s="7"/>
      <c r="I250" s="7"/>
    </row>
    <row r="251" spans="1:9" x14ac:dyDescent="0.25">
      <c r="A251" s="23" t="str">
        <f t="shared" si="6"/>
        <v>Please select an account</v>
      </c>
      <c r="B251" s="24" t="str">
        <f t="shared" si="7"/>
        <v>Please enter a date</v>
      </c>
      <c r="C251" s="11"/>
      <c r="D251" s="12"/>
      <c r="E251" s="6"/>
      <c r="F251" s="13"/>
      <c r="G251" s="9"/>
      <c r="H251" s="7"/>
      <c r="I251" s="7"/>
    </row>
    <row r="252" spans="1:9" x14ac:dyDescent="0.25">
      <c r="A252" s="23" t="str">
        <f t="shared" si="6"/>
        <v>Please select an account</v>
      </c>
      <c r="B252" s="24" t="str">
        <f t="shared" si="7"/>
        <v>Please enter a date</v>
      </c>
      <c r="C252" s="11"/>
      <c r="D252" s="12"/>
      <c r="E252" s="6"/>
      <c r="F252" s="13"/>
      <c r="G252" s="9"/>
      <c r="H252" s="7"/>
      <c r="I252" s="7"/>
    </row>
    <row r="253" spans="1:9" x14ac:dyDescent="0.25">
      <c r="A253" s="23" t="str">
        <f t="shared" si="6"/>
        <v>Please select an account</v>
      </c>
      <c r="B253" s="24" t="str">
        <f t="shared" si="7"/>
        <v>Please enter a date</v>
      </c>
      <c r="C253" s="11"/>
      <c r="D253" s="12"/>
      <c r="E253" s="6"/>
      <c r="F253" s="13"/>
      <c r="G253" s="9"/>
      <c r="H253" s="7"/>
      <c r="I253" s="7"/>
    </row>
    <row r="254" spans="1:9" x14ac:dyDescent="0.25">
      <c r="A254" s="23" t="str">
        <f t="shared" si="6"/>
        <v>Please select an account</v>
      </c>
      <c r="B254" s="24" t="str">
        <f t="shared" si="7"/>
        <v>Please enter a date</v>
      </c>
      <c r="C254" s="11"/>
      <c r="D254" s="12"/>
      <c r="E254" s="6"/>
      <c r="F254" s="13"/>
      <c r="G254" s="9"/>
      <c r="H254" s="7"/>
      <c r="I254" s="7"/>
    </row>
    <row r="255" spans="1:9" x14ac:dyDescent="0.25">
      <c r="A255" s="23" t="str">
        <f t="shared" si="6"/>
        <v>Please select an account</v>
      </c>
      <c r="B255" s="24" t="str">
        <f t="shared" si="7"/>
        <v>Please enter a date</v>
      </c>
      <c r="C255" s="11"/>
      <c r="D255" s="12"/>
      <c r="E255" s="6"/>
      <c r="F255" s="13"/>
      <c r="G255" s="9"/>
      <c r="H255" s="7"/>
      <c r="I255" s="7"/>
    </row>
    <row r="256" spans="1:9" x14ac:dyDescent="0.25">
      <c r="A256" s="23" t="str">
        <f t="shared" si="6"/>
        <v>Please select an account</v>
      </c>
      <c r="B256" s="24" t="str">
        <f t="shared" si="7"/>
        <v>Please enter a date</v>
      </c>
      <c r="C256" s="11"/>
      <c r="D256" s="12"/>
      <c r="E256" s="6"/>
      <c r="F256" s="13"/>
      <c r="G256" s="9"/>
      <c r="H256" s="7"/>
      <c r="I256" s="7"/>
    </row>
    <row r="257" spans="1:9" x14ac:dyDescent="0.25">
      <c r="A257" s="23" t="str">
        <f t="shared" si="6"/>
        <v>Please select an account</v>
      </c>
      <c r="B257" s="24" t="str">
        <f t="shared" si="7"/>
        <v>Please enter a date</v>
      </c>
      <c r="C257" s="11"/>
      <c r="D257" s="12"/>
      <c r="E257" s="6"/>
      <c r="F257" s="13"/>
      <c r="G257" s="9"/>
      <c r="H257" s="7"/>
      <c r="I257" s="7"/>
    </row>
    <row r="258" spans="1:9" x14ac:dyDescent="0.25">
      <c r="A258" s="23" t="str">
        <f t="shared" si="6"/>
        <v>Please select an account</v>
      </c>
      <c r="B258" s="24" t="str">
        <f t="shared" si="7"/>
        <v>Please enter a date</v>
      </c>
      <c r="C258" s="11"/>
      <c r="D258" s="12"/>
      <c r="E258" s="6"/>
      <c r="F258" s="13"/>
      <c r="G258" s="9"/>
      <c r="H258" s="7"/>
      <c r="I258" s="7"/>
    </row>
    <row r="259" spans="1:9" x14ac:dyDescent="0.25">
      <c r="A259" s="23" t="str">
        <f t="shared" si="6"/>
        <v>Please select an account</v>
      </c>
      <c r="B259" s="24" t="str">
        <f t="shared" si="7"/>
        <v>Please enter a date</v>
      </c>
      <c r="C259" s="11"/>
      <c r="D259" s="12"/>
      <c r="E259" s="6"/>
      <c r="F259" s="13"/>
      <c r="G259" s="9"/>
      <c r="H259" s="7"/>
      <c r="I259" s="7"/>
    </row>
    <row r="260" spans="1:9" x14ac:dyDescent="0.25">
      <c r="A260" s="23" t="str">
        <f t="shared" si="6"/>
        <v>Please select an account</v>
      </c>
      <c r="B260" s="24" t="str">
        <f t="shared" si="7"/>
        <v>Please enter a date</v>
      </c>
      <c r="C260" s="11"/>
      <c r="D260" s="12"/>
      <c r="E260" s="6"/>
      <c r="F260" s="13"/>
      <c r="G260" s="9"/>
      <c r="H260" s="7"/>
      <c r="I260" s="7"/>
    </row>
    <row r="261" spans="1:9" x14ac:dyDescent="0.25">
      <c r="A261" s="23" t="str">
        <f t="shared" si="6"/>
        <v>Please select an account</v>
      </c>
      <c r="B261" s="24" t="str">
        <f t="shared" si="7"/>
        <v>Please enter a date</v>
      </c>
      <c r="C261" s="11"/>
      <c r="D261" s="12"/>
      <c r="E261" s="6"/>
      <c r="F261" s="13"/>
      <c r="G261" s="9"/>
      <c r="H261" s="7"/>
      <c r="I261" s="7"/>
    </row>
    <row r="262" spans="1:9" x14ac:dyDescent="0.25">
      <c r="A262" s="23" t="str">
        <f t="shared" ref="A262:A325" si="8">IF($A$2=0,"Please select an account",$A$2)</f>
        <v>Please select an account</v>
      </c>
      <c r="B262" s="24" t="str">
        <f t="shared" ref="B262:B325" si="9">IF(TEXT($B$2,"YYYY-MM-DD")&lt;&gt;"1900-01-00",TEXT($B$2,"YYYY-MM-DD"),"Please enter a date")</f>
        <v>Please enter a date</v>
      </c>
      <c r="C262" s="11"/>
      <c r="D262" s="12"/>
      <c r="E262" s="6"/>
      <c r="F262" s="13"/>
      <c r="G262" s="9"/>
      <c r="H262" s="7"/>
      <c r="I262" s="7"/>
    </row>
    <row r="263" spans="1:9" x14ac:dyDescent="0.25">
      <c r="A263" s="23" t="str">
        <f t="shared" si="8"/>
        <v>Please select an account</v>
      </c>
      <c r="B263" s="24" t="str">
        <f t="shared" si="9"/>
        <v>Please enter a date</v>
      </c>
      <c r="C263" s="11"/>
      <c r="D263" s="12"/>
      <c r="E263" s="6"/>
      <c r="F263" s="13"/>
      <c r="G263" s="9"/>
      <c r="H263" s="7"/>
      <c r="I263" s="7"/>
    </row>
    <row r="264" spans="1:9" x14ac:dyDescent="0.25">
      <c r="A264" s="23" t="str">
        <f t="shared" si="8"/>
        <v>Please select an account</v>
      </c>
      <c r="B264" s="24" t="str">
        <f t="shared" si="9"/>
        <v>Please enter a date</v>
      </c>
      <c r="C264" s="11"/>
      <c r="D264" s="12"/>
      <c r="E264" s="6"/>
      <c r="F264" s="13"/>
      <c r="G264" s="9"/>
      <c r="H264" s="7"/>
      <c r="I264" s="7"/>
    </row>
    <row r="265" spans="1:9" x14ac:dyDescent="0.25">
      <c r="A265" s="23" t="str">
        <f t="shared" si="8"/>
        <v>Please select an account</v>
      </c>
      <c r="B265" s="24" t="str">
        <f t="shared" si="9"/>
        <v>Please enter a date</v>
      </c>
      <c r="C265" s="11"/>
      <c r="D265" s="12"/>
      <c r="E265" s="6"/>
      <c r="F265" s="13"/>
      <c r="G265" s="9"/>
      <c r="H265" s="7"/>
      <c r="I265" s="7"/>
    </row>
    <row r="266" spans="1:9" x14ac:dyDescent="0.25">
      <c r="A266" s="23" t="str">
        <f t="shared" si="8"/>
        <v>Please select an account</v>
      </c>
      <c r="B266" s="24" t="str">
        <f t="shared" si="9"/>
        <v>Please enter a date</v>
      </c>
      <c r="C266" s="11"/>
      <c r="D266" s="12"/>
      <c r="E266" s="6"/>
      <c r="F266" s="13"/>
      <c r="G266" s="9"/>
      <c r="H266" s="7"/>
      <c r="I266" s="7"/>
    </row>
    <row r="267" spans="1:9" x14ac:dyDescent="0.25">
      <c r="A267" s="23" t="str">
        <f t="shared" si="8"/>
        <v>Please select an account</v>
      </c>
      <c r="B267" s="24" t="str">
        <f t="shared" si="9"/>
        <v>Please enter a date</v>
      </c>
      <c r="C267" s="11"/>
      <c r="D267" s="12"/>
      <c r="E267" s="6"/>
      <c r="F267" s="13"/>
      <c r="G267" s="9"/>
      <c r="H267" s="7"/>
      <c r="I267" s="7"/>
    </row>
    <row r="268" spans="1:9" x14ac:dyDescent="0.25">
      <c r="A268" s="23" t="str">
        <f t="shared" si="8"/>
        <v>Please select an account</v>
      </c>
      <c r="B268" s="24" t="str">
        <f t="shared" si="9"/>
        <v>Please enter a date</v>
      </c>
      <c r="C268" s="11"/>
      <c r="D268" s="12"/>
      <c r="E268" s="6"/>
      <c r="F268" s="13"/>
      <c r="G268" s="9"/>
      <c r="H268" s="7"/>
      <c r="I268" s="7"/>
    </row>
    <row r="269" spans="1:9" x14ac:dyDescent="0.25">
      <c r="A269" s="23" t="str">
        <f t="shared" si="8"/>
        <v>Please select an account</v>
      </c>
      <c r="B269" s="24" t="str">
        <f t="shared" si="9"/>
        <v>Please enter a date</v>
      </c>
      <c r="C269" s="11"/>
      <c r="D269" s="12"/>
      <c r="E269" s="6"/>
      <c r="F269" s="13"/>
      <c r="G269" s="9"/>
      <c r="H269" s="7"/>
      <c r="I269" s="7"/>
    </row>
    <row r="270" spans="1:9" x14ac:dyDescent="0.25">
      <c r="A270" s="23" t="str">
        <f t="shared" si="8"/>
        <v>Please select an account</v>
      </c>
      <c r="B270" s="24" t="str">
        <f t="shared" si="9"/>
        <v>Please enter a date</v>
      </c>
      <c r="C270" s="11"/>
      <c r="D270" s="12"/>
      <c r="E270" s="6"/>
      <c r="F270" s="13"/>
      <c r="G270" s="9"/>
      <c r="H270" s="7"/>
      <c r="I270" s="7"/>
    </row>
    <row r="271" spans="1:9" x14ac:dyDescent="0.25">
      <c r="A271" s="23" t="str">
        <f t="shared" si="8"/>
        <v>Please select an account</v>
      </c>
      <c r="B271" s="24" t="str">
        <f t="shared" si="9"/>
        <v>Please enter a date</v>
      </c>
      <c r="C271" s="11"/>
      <c r="D271" s="12"/>
      <c r="E271" s="6"/>
      <c r="F271" s="13"/>
      <c r="G271" s="9"/>
      <c r="H271" s="7"/>
      <c r="I271" s="7"/>
    </row>
    <row r="272" spans="1:9" x14ac:dyDescent="0.25">
      <c r="A272" s="23" t="str">
        <f t="shared" si="8"/>
        <v>Please select an account</v>
      </c>
      <c r="B272" s="24" t="str">
        <f t="shared" si="9"/>
        <v>Please enter a date</v>
      </c>
      <c r="C272" s="11"/>
      <c r="D272" s="12"/>
      <c r="E272" s="6"/>
      <c r="F272" s="13"/>
      <c r="G272" s="9"/>
      <c r="H272" s="7"/>
      <c r="I272" s="7"/>
    </row>
    <row r="273" spans="1:9" x14ac:dyDescent="0.25">
      <c r="A273" s="23" t="str">
        <f t="shared" si="8"/>
        <v>Please select an account</v>
      </c>
      <c r="B273" s="24" t="str">
        <f t="shared" si="9"/>
        <v>Please enter a date</v>
      </c>
      <c r="C273" s="11"/>
      <c r="D273" s="12"/>
      <c r="E273" s="6"/>
      <c r="F273" s="13"/>
      <c r="G273" s="9"/>
      <c r="H273" s="7"/>
      <c r="I273" s="7"/>
    </row>
    <row r="274" spans="1:9" x14ac:dyDescent="0.25">
      <c r="A274" s="23" t="str">
        <f t="shared" si="8"/>
        <v>Please select an account</v>
      </c>
      <c r="B274" s="24" t="str">
        <f t="shared" si="9"/>
        <v>Please enter a date</v>
      </c>
      <c r="C274" s="11"/>
      <c r="D274" s="12"/>
      <c r="E274" s="6"/>
      <c r="F274" s="13"/>
      <c r="G274" s="9"/>
      <c r="H274" s="7"/>
      <c r="I274" s="7"/>
    </row>
    <row r="275" spans="1:9" x14ac:dyDescent="0.25">
      <c r="A275" s="23" t="str">
        <f t="shared" si="8"/>
        <v>Please select an account</v>
      </c>
      <c r="B275" s="24" t="str">
        <f t="shared" si="9"/>
        <v>Please enter a date</v>
      </c>
      <c r="C275" s="11"/>
      <c r="D275" s="12"/>
      <c r="E275" s="6"/>
      <c r="F275" s="13"/>
      <c r="G275" s="9"/>
      <c r="H275" s="7"/>
      <c r="I275" s="7"/>
    </row>
    <row r="276" spans="1:9" x14ac:dyDescent="0.25">
      <c r="A276" s="23" t="str">
        <f t="shared" si="8"/>
        <v>Please select an account</v>
      </c>
      <c r="B276" s="24" t="str">
        <f t="shared" si="9"/>
        <v>Please enter a date</v>
      </c>
      <c r="C276" s="11"/>
      <c r="D276" s="12"/>
      <c r="E276" s="6"/>
      <c r="F276" s="13"/>
      <c r="G276" s="9"/>
      <c r="H276" s="7"/>
      <c r="I276" s="7"/>
    </row>
    <row r="277" spans="1:9" x14ac:dyDescent="0.25">
      <c r="A277" s="23" t="str">
        <f t="shared" si="8"/>
        <v>Please select an account</v>
      </c>
      <c r="B277" s="24" t="str">
        <f t="shared" si="9"/>
        <v>Please enter a date</v>
      </c>
      <c r="C277" s="11"/>
      <c r="D277" s="12"/>
      <c r="E277" s="6"/>
      <c r="F277" s="13"/>
      <c r="G277" s="9"/>
      <c r="H277" s="7"/>
      <c r="I277" s="7"/>
    </row>
    <row r="278" spans="1:9" x14ac:dyDescent="0.25">
      <c r="A278" s="23" t="str">
        <f t="shared" si="8"/>
        <v>Please select an account</v>
      </c>
      <c r="B278" s="24" t="str">
        <f t="shared" si="9"/>
        <v>Please enter a date</v>
      </c>
      <c r="C278" s="11"/>
      <c r="D278" s="12"/>
      <c r="E278" s="6"/>
      <c r="F278" s="13"/>
      <c r="G278" s="9"/>
      <c r="H278" s="7"/>
      <c r="I278" s="7"/>
    </row>
    <row r="279" spans="1:9" x14ac:dyDescent="0.25">
      <c r="A279" s="23" t="str">
        <f t="shared" si="8"/>
        <v>Please select an account</v>
      </c>
      <c r="B279" s="24" t="str">
        <f t="shared" si="9"/>
        <v>Please enter a date</v>
      </c>
      <c r="C279" s="11"/>
      <c r="D279" s="12"/>
      <c r="E279" s="6"/>
      <c r="F279" s="13"/>
      <c r="G279" s="9"/>
      <c r="H279" s="7"/>
      <c r="I279" s="7"/>
    </row>
    <row r="280" spans="1:9" x14ac:dyDescent="0.25">
      <c r="A280" s="23" t="str">
        <f t="shared" si="8"/>
        <v>Please select an account</v>
      </c>
      <c r="B280" s="24" t="str">
        <f t="shared" si="9"/>
        <v>Please enter a date</v>
      </c>
      <c r="C280" s="11"/>
      <c r="D280" s="12"/>
      <c r="E280" s="6"/>
      <c r="F280" s="13"/>
      <c r="G280" s="9"/>
      <c r="H280" s="7"/>
      <c r="I280" s="7"/>
    </row>
    <row r="281" spans="1:9" x14ac:dyDescent="0.25">
      <c r="A281" s="23" t="str">
        <f t="shared" si="8"/>
        <v>Please select an account</v>
      </c>
      <c r="B281" s="24" t="str">
        <f t="shared" si="9"/>
        <v>Please enter a date</v>
      </c>
      <c r="C281" s="11"/>
      <c r="D281" s="12"/>
      <c r="E281" s="6"/>
      <c r="F281" s="13"/>
      <c r="G281" s="9"/>
      <c r="H281" s="7"/>
      <c r="I281" s="7"/>
    </row>
    <row r="282" spans="1:9" x14ac:dyDescent="0.25">
      <c r="A282" s="23" t="str">
        <f t="shared" si="8"/>
        <v>Please select an account</v>
      </c>
      <c r="B282" s="24" t="str">
        <f t="shared" si="9"/>
        <v>Please enter a date</v>
      </c>
      <c r="C282" s="11"/>
      <c r="D282" s="12"/>
      <c r="E282" s="6"/>
      <c r="F282" s="13"/>
      <c r="G282" s="9"/>
      <c r="H282" s="7"/>
      <c r="I282" s="7"/>
    </row>
    <row r="283" spans="1:9" x14ac:dyDescent="0.25">
      <c r="A283" s="23" t="str">
        <f t="shared" si="8"/>
        <v>Please select an account</v>
      </c>
      <c r="B283" s="24" t="str">
        <f t="shared" si="9"/>
        <v>Please enter a date</v>
      </c>
      <c r="C283" s="11"/>
      <c r="D283" s="12"/>
      <c r="E283" s="6"/>
      <c r="F283" s="13"/>
      <c r="G283" s="9"/>
      <c r="H283" s="7"/>
      <c r="I283" s="7"/>
    </row>
    <row r="284" spans="1:9" x14ac:dyDescent="0.25">
      <c r="A284" s="23" t="str">
        <f t="shared" si="8"/>
        <v>Please select an account</v>
      </c>
      <c r="B284" s="24" t="str">
        <f t="shared" si="9"/>
        <v>Please enter a date</v>
      </c>
      <c r="C284" s="11"/>
      <c r="D284" s="12"/>
      <c r="E284" s="6"/>
      <c r="F284" s="13"/>
      <c r="G284" s="9"/>
      <c r="H284" s="7"/>
      <c r="I284" s="7"/>
    </row>
    <row r="285" spans="1:9" x14ac:dyDescent="0.25">
      <c r="A285" s="23" t="str">
        <f t="shared" si="8"/>
        <v>Please select an account</v>
      </c>
      <c r="B285" s="24" t="str">
        <f t="shared" si="9"/>
        <v>Please enter a date</v>
      </c>
      <c r="C285" s="11"/>
      <c r="D285" s="12"/>
      <c r="E285" s="6"/>
      <c r="F285" s="13"/>
      <c r="G285" s="9"/>
      <c r="H285" s="7"/>
      <c r="I285" s="7"/>
    </row>
    <row r="286" spans="1:9" x14ac:dyDescent="0.25">
      <c r="A286" s="23" t="str">
        <f t="shared" si="8"/>
        <v>Please select an account</v>
      </c>
      <c r="B286" s="24" t="str">
        <f t="shared" si="9"/>
        <v>Please enter a date</v>
      </c>
      <c r="C286" s="11"/>
      <c r="D286" s="12"/>
      <c r="E286" s="6"/>
      <c r="F286" s="13"/>
      <c r="G286" s="9"/>
      <c r="H286" s="7"/>
      <c r="I286" s="7"/>
    </row>
    <row r="287" spans="1:9" x14ac:dyDescent="0.25">
      <c r="A287" s="23" t="str">
        <f t="shared" si="8"/>
        <v>Please select an account</v>
      </c>
      <c r="B287" s="24" t="str">
        <f t="shared" si="9"/>
        <v>Please enter a date</v>
      </c>
      <c r="C287" s="11"/>
      <c r="D287" s="12"/>
      <c r="E287" s="6"/>
      <c r="F287" s="13"/>
      <c r="G287" s="9"/>
      <c r="H287" s="7"/>
      <c r="I287" s="7"/>
    </row>
    <row r="288" spans="1:9" x14ac:dyDescent="0.25">
      <c r="A288" s="23" t="str">
        <f t="shared" si="8"/>
        <v>Please select an account</v>
      </c>
      <c r="B288" s="24" t="str">
        <f t="shared" si="9"/>
        <v>Please enter a date</v>
      </c>
      <c r="C288" s="11"/>
      <c r="D288" s="12"/>
      <c r="E288" s="6"/>
      <c r="F288" s="13"/>
      <c r="G288" s="9"/>
      <c r="H288" s="7"/>
      <c r="I288" s="7"/>
    </row>
    <row r="289" spans="1:9" x14ac:dyDescent="0.25">
      <c r="A289" s="23" t="str">
        <f t="shared" si="8"/>
        <v>Please select an account</v>
      </c>
      <c r="B289" s="24" t="str">
        <f t="shared" si="9"/>
        <v>Please enter a date</v>
      </c>
      <c r="C289" s="11"/>
      <c r="D289" s="12"/>
      <c r="E289" s="6"/>
      <c r="F289" s="13"/>
      <c r="G289" s="9"/>
      <c r="H289" s="7"/>
      <c r="I289" s="7"/>
    </row>
    <row r="290" spans="1:9" x14ac:dyDescent="0.25">
      <c r="A290" s="23" t="str">
        <f t="shared" si="8"/>
        <v>Please select an account</v>
      </c>
      <c r="B290" s="24" t="str">
        <f t="shared" si="9"/>
        <v>Please enter a date</v>
      </c>
      <c r="C290" s="11"/>
      <c r="D290" s="12"/>
      <c r="E290" s="6"/>
      <c r="F290" s="13"/>
      <c r="G290" s="9"/>
      <c r="H290" s="7"/>
      <c r="I290" s="7"/>
    </row>
    <row r="291" spans="1:9" x14ac:dyDescent="0.25">
      <c r="A291" s="23" t="str">
        <f t="shared" si="8"/>
        <v>Please select an account</v>
      </c>
      <c r="B291" s="24" t="str">
        <f t="shared" si="9"/>
        <v>Please enter a date</v>
      </c>
      <c r="C291" s="11"/>
      <c r="D291" s="12"/>
      <c r="E291" s="6"/>
      <c r="F291" s="13"/>
      <c r="G291" s="9"/>
      <c r="H291" s="7"/>
      <c r="I291" s="7"/>
    </row>
    <row r="292" spans="1:9" x14ac:dyDescent="0.25">
      <c r="A292" s="23" t="str">
        <f t="shared" si="8"/>
        <v>Please select an account</v>
      </c>
      <c r="B292" s="24" t="str">
        <f t="shared" si="9"/>
        <v>Please enter a date</v>
      </c>
      <c r="C292" s="11"/>
      <c r="D292" s="12"/>
      <c r="E292" s="6"/>
      <c r="F292" s="13"/>
      <c r="G292" s="9"/>
      <c r="H292" s="7"/>
      <c r="I292" s="7"/>
    </row>
    <row r="293" spans="1:9" x14ac:dyDescent="0.25">
      <c r="A293" s="23" t="str">
        <f t="shared" si="8"/>
        <v>Please select an account</v>
      </c>
      <c r="B293" s="24" t="str">
        <f t="shared" si="9"/>
        <v>Please enter a date</v>
      </c>
      <c r="C293" s="11"/>
      <c r="D293" s="12"/>
      <c r="E293" s="6"/>
      <c r="F293" s="13"/>
      <c r="G293" s="9"/>
      <c r="H293" s="7"/>
      <c r="I293" s="7"/>
    </row>
    <row r="294" spans="1:9" x14ac:dyDescent="0.25">
      <c r="A294" s="23" t="str">
        <f t="shared" si="8"/>
        <v>Please select an account</v>
      </c>
      <c r="B294" s="24" t="str">
        <f t="shared" si="9"/>
        <v>Please enter a date</v>
      </c>
      <c r="C294" s="11"/>
      <c r="D294" s="12"/>
      <c r="E294" s="6"/>
      <c r="F294" s="13"/>
      <c r="G294" s="9"/>
      <c r="H294" s="7"/>
      <c r="I294" s="7"/>
    </row>
    <row r="295" spans="1:9" x14ac:dyDescent="0.25">
      <c r="A295" s="23" t="str">
        <f t="shared" si="8"/>
        <v>Please select an account</v>
      </c>
      <c r="B295" s="24" t="str">
        <f t="shared" si="9"/>
        <v>Please enter a date</v>
      </c>
      <c r="C295" s="11"/>
      <c r="D295" s="12"/>
      <c r="E295" s="6"/>
      <c r="F295" s="13"/>
      <c r="G295" s="9"/>
      <c r="H295" s="7"/>
      <c r="I295" s="7"/>
    </row>
    <row r="296" spans="1:9" x14ac:dyDescent="0.25">
      <c r="A296" s="23" t="str">
        <f t="shared" si="8"/>
        <v>Please select an account</v>
      </c>
      <c r="B296" s="24" t="str">
        <f t="shared" si="9"/>
        <v>Please enter a date</v>
      </c>
      <c r="C296" s="11"/>
      <c r="D296" s="12"/>
      <c r="E296" s="6"/>
      <c r="F296" s="13"/>
      <c r="G296" s="9"/>
      <c r="H296" s="7"/>
      <c r="I296" s="7"/>
    </row>
    <row r="297" spans="1:9" x14ac:dyDescent="0.25">
      <c r="A297" s="23" t="str">
        <f t="shared" si="8"/>
        <v>Please select an account</v>
      </c>
      <c r="B297" s="24" t="str">
        <f t="shared" si="9"/>
        <v>Please enter a date</v>
      </c>
      <c r="C297" s="11"/>
      <c r="D297" s="12"/>
      <c r="E297" s="6"/>
      <c r="F297" s="13"/>
      <c r="G297" s="9"/>
      <c r="H297" s="7"/>
      <c r="I297" s="7"/>
    </row>
    <row r="298" spans="1:9" x14ac:dyDescent="0.25">
      <c r="A298" s="23" t="str">
        <f t="shared" si="8"/>
        <v>Please select an account</v>
      </c>
      <c r="B298" s="24" t="str">
        <f t="shared" si="9"/>
        <v>Please enter a date</v>
      </c>
      <c r="C298" s="11"/>
      <c r="D298" s="12"/>
      <c r="E298" s="6"/>
      <c r="F298" s="13"/>
      <c r="G298" s="9"/>
      <c r="H298" s="7"/>
      <c r="I298" s="7"/>
    </row>
    <row r="299" spans="1:9" x14ac:dyDescent="0.25">
      <c r="A299" s="23" t="str">
        <f t="shared" si="8"/>
        <v>Please select an account</v>
      </c>
      <c r="B299" s="24" t="str">
        <f t="shared" si="9"/>
        <v>Please enter a date</v>
      </c>
      <c r="C299" s="11"/>
      <c r="D299" s="12"/>
      <c r="E299" s="6"/>
      <c r="F299" s="13"/>
      <c r="G299" s="9"/>
      <c r="H299" s="7"/>
      <c r="I299" s="7"/>
    </row>
    <row r="300" spans="1:9" x14ac:dyDescent="0.25">
      <c r="A300" s="23" t="str">
        <f t="shared" si="8"/>
        <v>Please select an account</v>
      </c>
      <c r="B300" s="24" t="str">
        <f t="shared" si="9"/>
        <v>Please enter a date</v>
      </c>
      <c r="C300" s="11"/>
      <c r="D300" s="12"/>
      <c r="E300" s="6"/>
      <c r="F300" s="13"/>
      <c r="G300" s="9"/>
      <c r="H300" s="7"/>
      <c r="I300" s="7"/>
    </row>
    <row r="301" spans="1:9" x14ac:dyDescent="0.25">
      <c r="A301" s="23" t="str">
        <f t="shared" si="8"/>
        <v>Please select an account</v>
      </c>
      <c r="B301" s="24" t="str">
        <f t="shared" si="9"/>
        <v>Please enter a date</v>
      </c>
      <c r="C301" s="11"/>
      <c r="D301" s="12"/>
      <c r="E301" s="6"/>
      <c r="F301" s="13"/>
      <c r="G301" s="9"/>
      <c r="H301" s="7"/>
      <c r="I301" s="7"/>
    </row>
    <row r="302" spans="1:9" x14ac:dyDescent="0.25">
      <c r="A302" s="23" t="str">
        <f t="shared" si="8"/>
        <v>Please select an account</v>
      </c>
      <c r="B302" s="24" t="str">
        <f t="shared" si="9"/>
        <v>Please enter a date</v>
      </c>
      <c r="C302" s="11"/>
      <c r="D302" s="12"/>
      <c r="E302" s="6"/>
      <c r="F302" s="13"/>
      <c r="G302" s="9"/>
      <c r="H302" s="7"/>
      <c r="I302" s="7"/>
    </row>
    <row r="303" spans="1:9" x14ac:dyDescent="0.25">
      <c r="A303" s="23" t="str">
        <f t="shared" si="8"/>
        <v>Please select an account</v>
      </c>
      <c r="B303" s="24" t="str">
        <f t="shared" si="9"/>
        <v>Please enter a date</v>
      </c>
      <c r="C303" s="11"/>
      <c r="D303" s="12"/>
      <c r="E303" s="6"/>
      <c r="F303" s="13"/>
      <c r="G303" s="9"/>
      <c r="H303" s="7"/>
      <c r="I303" s="7"/>
    </row>
    <row r="304" spans="1:9" x14ac:dyDescent="0.25">
      <c r="A304" s="23" t="str">
        <f t="shared" si="8"/>
        <v>Please select an account</v>
      </c>
      <c r="B304" s="24" t="str">
        <f t="shared" si="9"/>
        <v>Please enter a date</v>
      </c>
      <c r="C304" s="11"/>
      <c r="D304" s="12"/>
      <c r="E304" s="6"/>
      <c r="F304" s="13"/>
      <c r="G304" s="9"/>
      <c r="H304" s="7"/>
      <c r="I304" s="7"/>
    </row>
    <row r="305" spans="1:9" x14ac:dyDescent="0.25">
      <c r="A305" s="23" t="str">
        <f t="shared" si="8"/>
        <v>Please select an account</v>
      </c>
      <c r="B305" s="24" t="str">
        <f t="shared" si="9"/>
        <v>Please enter a date</v>
      </c>
      <c r="C305" s="11"/>
      <c r="D305" s="12"/>
      <c r="E305" s="6"/>
      <c r="F305" s="13"/>
      <c r="G305" s="9"/>
      <c r="H305" s="7"/>
      <c r="I305" s="7"/>
    </row>
    <row r="306" spans="1:9" x14ac:dyDescent="0.25">
      <c r="A306" s="23" t="str">
        <f t="shared" si="8"/>
        <v>Please select an account</v>
      </c>
      <c r="B306" s="24" t="str">
        <f t="shared" si="9"/>
        <v>Please enter a date</v>
      </c>
      <c r="C306" s="11"/>
      <c r="D306" s="12"/>
      <c r="E306" s="6"/>
      <c r="F306" s="13"/>
      <c r="G306" s="9"/>
      <c r="H306" s="7"/>
      <c r="I306" s="7"/>
    </row>
    <row r="307" spans="1:9" x14ac:dyDescent="0.25">
      <c r="A307" s="23" t="str">
        <f t="shared" si="8"/>
        <v>Please select an account</v>
      </c>
      <c r="B307" s="24" t="str">
        <f t="shared" si="9"/>
        <v>Please enter a date</v>
      </c>
      <c r="C307" s="11"/>
      <c r="D307" s="12"/>
      <c r="E307" s="6"/>
      <c r="F307" s="13"/>
      <c r="G307" s="9"/>
      <c r="H307" s="7"/>
      <c r="I307" s="7"/>
    </row>
    <row r="308" spans="1:9" x14ac:dyDescent="0.25">
      <c r="A308" s="23" t="str">
        <f t="shared" si="8"/>
        <v>Please select an account</v>
      </c>
      <c r="B308" s="24" t="str">
        <f t="shared" si="9"/>
        <v>Please enter a date</v>
      </c>
      <c r="C308" s="11"/>
      <c r="D308" s="12"/>
      <c r="E308" s="6"/>
      <c r="F308" s="13"/>
      <c r="G308" s="9"/>
      <c r="H308" s="7"/>
      <c r="I308" s="7"/>
    </row>
    <row r="309" spans="1:9" x14ac:dyDescent="0.25">
      <c r="A309" s="23" t="str">
        <f t="shared" si="8"/>
        <v>Please select an account</v>
      </c>
      <c r="B309" s="24" t="str">
        <f t="shared" si="9"/>
        <v>Please enter a date</v>
      </c>
      <c r="C309" s="11"/>
      <c r="D309" s="12"/>
      <c r="E309" s="6"/>
      <c r="F309" s="13"/>
      <c r="G309" s="9"/>
      <c r="H309" s="7"/>
      <c r="I309" s="7"/>
    </row>
    <row r="310" spans="1:9" x14ac:dyDescent="0.25">
      <c r="A310" s="23" t="str">
        <f t="shared" si="8"/>
        <v>Please select an account</v>
      </c>
      <c r="B310" s="24" t="str">
        <f t="shared" si="9"/>
        <v>Please enter a date</v>
      </c>
      <c r="C310" s="11"/>
      <c r="D310" s="12"/>
      <c r="E310" s="6"/>
      <c r="F310" s="13"/>
      <c r="G310" s="9"/>
      <c r="H310" s="7"/>
      <c r="I310" s="7"/>
    </row>
    <row r="311" spans="1:9" x14ac:dyDescent="0.25">
      <c r="A311" s="23" t="str">
        <f t="shared" si="8"/>
        <v>Please select an account</v>
      </c>
      <c r="B311" s="24" t="str">
        <f t="shared" si="9"/>
        <v>Please enter a date</v>
      </c>
      <c r="C311" s="11"/>
      <c r="D311" s="12"/>
      <c r="E311" s="6"/>
      <c r="F311" s="13"/>
      <c r="G311" s="9"/>
      <c r="H311" s="7"/>
      <c r="I311" s="7"/>
    </row>
    <row r="312" spans="1:9" x14ac:dyDescent="0.25">
      <c r="A312" s="23" t="str">
        <f t="shared" si="8"/>
        <v>Please select an account</v>
      </c>
      <c r="B312" s="24" t="str">
        <f t="shared" si="9"/>
        <v>Please enter a date</v>
      </c>
      <c r="C312" s="11"/>
      <c r="D312" s="12"/>
      <c r="E312" s="6"/>
      <c r="F312" s="13"/>
      <c r="G312" s="9"/>
      <c r="H312" s="7"/>
      <c r="I312" s="7"/>
    </row>
    <row r="313" spans="1:9" x14ac:dyDescent="0.25">
      <c r="A313" s="23" t="str">
        <f t="shared" si="8"/>
        <v>Please select an account</v>
      </c>
      <c r="B313" s="24" t="str">
        <f t="shared" si="9"/>
        <v>Please enter a date</v>
      </c>
      <c r="C313" s="11"/>
      <c r="D313" s="12"/>
      <c r="E313" s="6"/>
      <c r="F313" s="13"/>
      <c r="G313" s="9"/>
      <c r="H313" s="7"/>
      <c r="I313" s="7"/>
    </row>
    <row r="314" spans="1:9" x14ac:dyDescent="0.25">
      <c r="A314" s="23" t="str">
        <f t="shared" si="8"/>
        <v>Please select an account</v>
      </c>
      <c r="B314" s="24" t="str">
        <f t="shared" si="9"/>
        <v>Please enter a date</v>
      </c>
      <c r="C314" s="11"/>
      <c r="D314" s="12"/>
      <c r="E314" s="6"/>
      <c r="F314" s="13"/>
      <c r="G314" s="9"/>
      <c r="H314" s="7"/>
      <c r="I314" s="7"/>
    </row>
    <row r="315" spans="1:9" x14ac:dyDescent="0.25">
      <c r="A315" s="23" t="str">
        <f t="shared" si="8"/>
        <v>Please select an account</v>
      </c>
      <c r="B315" s="24" t="str">
        <f t="shared" si="9"/>
        <v>Please enter a date</v>
      </c>
      <c r="C315" s="11"/>
      <c r="D315" s="12"/>
      <c r="E315" s="6"/>
      <c r="F315" s="13"/>
      <c r="G315" s="9"/>
      <c r="H315" s="7"/>
      <c r="I315" s="7"/>
    </row>
    <row r="316" spans="1:9" x14ac:dyDescent="0.25">
      <c r="A316" s="23" t="str">
        <f t="shared" si="8"/>
        <v>Please select an account</v>
      </c>
      <c r="B316" s="24" t="str">
        <f t="shared" si="9"/>
        <v>Please enter a date</v>
      </c>
      <c r="C316" s="11"/>
      <c r="D316" s="12"/>
      <c r="E316" s="6"/>
      <c r="F316" s="13"/>
      <c r="G316" s="9"/>
      <c r="H316" s="7"/>
      <c r="I316" s="7"/>
    </row>
    <row r="317" spans="1:9" x14ac:dyDescent="0.25">
      <c r="A317" s="23" t="str">
        <f t="shared" si="8"/>
        <v>Please select an account</v>
      </c>
      <c r="B317" s="24" t="str">
        <f t="shared" si="9"/>
        <v>Please enter a date</v>
      </c>
      <c r="C317" s="11"/>
      <c r="D317" s="12"/>
      <c r="E317" s="6"/>
      <c r="F317" s="13"/>
      <c r="G317" s="9"/>
      <c r="H317" s="7"/>
      <c r="I317" s="7"/>
    </row>
    <row r="318" spans="1:9" x14ac:dyDescent="0.25">
      <c r="A318" s="23" t="str">
        <f t="shared" si="8"/>
        <v>Please select an account</v>
      </c>
      <c r="B318" s="24" t="str">
        <f t="shared" si="9"/>
        <v>Please enter a date</v>
      </c>
      <c r="C318" s="11"/>
      <c r="D318" s="12"/>
      <c r="E318" s="6"/>
      <c r="F318" s="13"/>
      <c r="G318" s="9"/>
      <c r="H318" s="7"/>
      <c r="I318" s="7"/>
    </row>
    <row r="319" spans="1:9" x14ac:dyDescent="0.25">
      <c r="A319" s="23" t="str">
        <f t="shared" si="8"/>
        <v>Please select an account</v>
      </c>
      <c r="B319" s="24" t="str">
        <f t="shared" si="9"/>
        <v>Please enter a date</v>
      </c>
      <c r="C319" s="11"/>
      <c r="D319" s="12"/>
      <c r="E319" s="6"/>
      <c r="F319" s="13"/>
      <c r="G319" s="9"/>
      <c r="H319" s="7"/>
      <c r="I319" s="7"/>
    </row>
    <row r="320" spans="1:9" x14ac:dyDescent="0.25">
      <c r="A320" s="23" t="str">
        <f t="shared" si="8"/>
        <v>Please select an account</v>
      </c>
      <c r="B320" s="24" t="str">
        <f t="shared" si="9"/>
        <v>Please enter a date</v>
      </c>
      <c r="C320" s="11"/>
      <c r="D320" s="12"/>
      <c r="E320" s="6"/>
      <c r="F320" s="13"/>
      <c r="G320" s="9"/>
      <c r="H320" s="7"/>
      <c r="I320" s="7"/>
    </row>
    <row r="321" spans="1:9" x14ac:dyDescent="0.25">
      <c r="A321" s="23" t="str">
        <f t="shared" si="8"/>
        <v>Please select an account</v>
      </c>
      <c r="B321" s="24" t="str">
        <f t="shared" si="9"/>
        <v>Please enter a date</v>
      </c>
      <c r="C321" s="11"/>
      <c r="D321" s="12"/>
      <c r="E321" s="6"/>
      <c r="F321" s="13"/>
      <c r="G321" s="9"/>
      <c r="H321" s="7"/>
      <c r="I321" s="7"/>
    </row>
    <row r="322" spans="1:9" x14ac:dyDescent="0.25">
      <c r="A322" s="23" t="str">
        <f t="shared" si="8"/>
        <v>Please select an account</v>
      </c>
      <c r="B322" s="24" t="str">
        <f t="shared" si="9"/>
        <v>Please enter a date</v>
      </c>
      <c r="C322" s="11"/>
      <c r="D322" s="12"/>
      <c r="E322" s="6"/>
      <c r="F322" s="13"/>
      <c r="G322" s="9"/>
      <c r="H322" s="7"/>
      <c r="I322" s="7"/>
    </row>
    <row r="323" spans="1:9" x14ac:dyDescent="0.25">
      <c r="A323" s="23" t="str">
        <f t="shared" si="8"/>
        <v>Please select an account</v>
      </c>
      <c r="B323" s="24" t="str">
        <f t="shared" si="9"/>
        <v>Please enter a date</v>
      </c>
      <c r="C323" s="11"/>
      <c r="D323" s="12"/>
      <c r="E323" s="6"/>
      <c r="F323" s="13"/>
      <c r="G323" s="9"/>
      <c r="H323" s="7"/>
      <c r="I323" s="7"/>
    </row>
    <row r="324" spans="1:9" x14ac:dyDescent="0.25">
      <c r="A324" s="23" t="str">
        <f t="shared" si="8"/>
        <v>Please select an account</v>
      </c>
      <c r="B324" s="24" t="str">
        <f t="shared" si="9"/>
        <v>Please enter a date</v>
      </c>
      <c r="C324" s="11"/>
      <c r="D324" s="12"/>
      <c r="E324" s="6"/>
      <c r="F324" s="13"/>
      <c r="G324" s="9"/>
      <c r="H324" s="7"/>
      <c r="I324" s="7"/>
    </row>
    <row r="325" spans="1:9" x14ac:dyDescent="0.25">
      <c r="A325" s="23" t="str">
        <f t="shared" si="8"/>
        <v>Please select an account</v>
      </c>
      <c r="B325" s="24" t="str">
        <f t="shared" si="9"/>
        <v>Please enter a date</v>
      </c>
      <c r="C325" s="11"/>
      <c r="D325" s="12"/>
      <c r="E325" s="6"/>
      <c r="F325" s="13"/>
      <c r="G325" s="9"/>
      <c r="H325" s="7"/>
      <c r="I325" s="7"/>
    </row>
    <row r="326" spans="1:9" x14ac:dyDescent="0.25">
      <c r="A326" s="23" t="str">
        <f t="shared" ref="A326:A389" si="10">IF($A$2=0,"Please select an account",$A$2)</f>
        <v>Please select an account</v>
      </c>
      <c r="B326" s="24" t="str">
        <f t="shared" ref="B326:B389" si="11">IF(TEXT($B$2,"YYYY-MM-DD")&lt;&gt;"1900-01-00",TEXT($B$2,"YYYY-MM-DD"),"Please enter a date")</f>
        <v>Please enter a date</v>
      </c>
      <c r="C326" s="11"/>
      <c r="D326" s="12"/>
      <c r="E326" s="6"/>
      <c r="F326" s="13"/>
      <c r="G326" s="9"/>
      <c r="H326" s="7"/>
      <c r="I326" s="7"/>
    </row>
    <row r="327" spans="1:9" x14ac:dyDescent="0.25">
      <c r="A327" s="23" t="str">
        <f t="shared" si="10"/>
        <v>Please select an account</v>
      </c>
      <c r="B327" s="24" t="str">
        <f t="shared" si="11"/>
        <v>Please enter a date</v>
      </c>
      <c r="C327" s="11"/>
      <c r="D327" s="12"/>
      <c r="E327" s="6"/>
      <c r="F327" s="13"/>
      <c r="G327" s="9"/>
      <c r="H327" s="7"/>
      <c r="I327" s="7"/>
    </row>
    <row r="328" spans="1:9" x14ac:dyDescent="0.25">
      <c r="A328" s="23" t="str">
        <f t="shared" si="10"/>
        <v>Please select an account</v>
      </c>
      <c r="B328" s="24" t="str">
        <f t="shared" si="11"/>
        <v>Please enter a date</v>
      </c>
      <c r="C328" s="11"/>
      <c r="D328" s="12"/>
      <c r="E328" s="6"/>
      <c r="F328" s="13"/>
      <c r="G328" s="9"/>
      <c r="H328" s="7"/>
      <c r="I328" s="7"/>
    </row>
    <row r="329" spans="1:9" x14ac:dyDescent="0.25">
      <c r="A329" s="23" t="str">
        <f t="shared" si="10"/>
        <v>Please select an account</v>
      </c>
      <c r="B329" s="24" t="str">
        <f t="shared" si="11"/>
        <v>Please enter a date</v>
      </c>
      <c r="C329" s="11"/>
      <c r="D329" s="12"/>
      <c r="E329" s="6"/>
      <c r="F329" s="13"/>
      <c r="G329" s="9"/>
      <c r="H329" s="7"/>
      <c r="I329" s="7"/>
    </row>
    <row r="330" spans="1:9" x14ac:dyDescent="0.25">
      <c r="A330" s="23" t="str">
        <f t="shared" si="10"/>
        <v>Please select an account</v>
      </c>
      <c r="B330" s="24" t="str">
        <f t="shared" si="11"/>
        <v>Please enter a date</v>
      </c>
      <c r="C330" s="11"/>
      <c r="D330" s="12"/>
      <c r="E330" s="6"/>
      <c r="F330" s="13"/>
      <c r="G330" s="9"/>
      <c r="H330" s="7"/>
      <c r="I330" s="7"/>
    </row>
    <row r="331" spans="1:9" x14ac:dyDescent="0.25">
      <c r="A331" s="23" t="str">
        <f t="shared" si="10"/>
        <v>Please select an account</v>
      </c>
      <c r="B331" s="24" t="str">
        <f t="shared" si="11"/>
        <v>Please enter a date</v>
      </c>
      <c r="C331" s="11"/>
      <c r="D331" s="12"/>
      <c r="E331" s="6"/>
      <c r="F331" s="13"/>
      <c r="G331" s="9"/>
      <c r="H331" s="7"/>
      <c r="I331" s="7"/>
    </row>
    <row r="332" spans="1:9" x14ac:dyDescent="0.25">
      <c r="A332" s="23" t="str">
        <f t="shared" si="10"/>
        <v>Please select an account</v>
      </c>
      <c r="B332" s="24" t="str">
        <f t="shared" si="11"/>
        <v>Please enter a date</v>
      </c>
      <c r="C332" s="11"/>
      <c r="D332" s="12"/>
      <c r="E332" s="6"/>
      <c r="F332" s="13"/>
      <c r="G332" s="9"/>
      <c r="H332" s="7"/>
      <c r="I332" s="7"/>
    </row>
    <row r="333" spans="1:9" x14ac:dyDescent="0.25">
      <c r="A333" s="23" t="str">
        <f t="shared" si="10"/>
        <v>Please select an account</v>
      </c>
      <c r="B333" s="24" t="str">
        <f t="shared" si="11"/>
        <v>Please enter a date</v>
      </c>
      <c r="C333" s="11"/>
      <c r="D333" s="12"/>
      <c r="E333" s="6"/>
      <c r="F333" s="13"/>
      <c r="G333" s="9"/>
      <c r="H333" s="7"/>
      <c r="I333" s="7"/>
    </row>
    <row r="334" spans="1:9" x14ac:dyDescent="0.25">
      <c r="A334" s="23" t="str">
        <f t="shared" si="10"/>
        <v>Please select an account</v>
      </c>
      <c r="B334" s="24" t="str">
        <f t="shared" si="11"/>
        <v>Please enter a date</v>
      </c>
      <c r="C334" s="11"/>
      <c r="D334" s="12"/>
      <c r="E334" s="6"/>
      <c r="F334" s="13"/>
      <c r="G334" s="9"/>
      <c r="H334" s="7"/>
      <c r="I334" s="7"/>
    </row>
    <row r="335" spans="1:9" x14ac:dyDescent="0.25">
      <c r="A335" s="23" t="str">
        <f t="shared" si="10"/>
        <v>Please select an account</v>
      </c>
      <c r="B335" s="24" t="str">
        <f t="shared" si="11"/>
        <v>Please enter a date</v>
      </c>
      <c r="C335" s="11"/>
      <c r="D335" s="12"/>
      <c r="E335" s="6"/>
      <c r="F335" s="13"/>
      <c r="G335" s="9"/>
      <c r="H335" s="7"/>
      <c r="I335" s="7"/>
    </row>
    <row r="336" spans="1:9" x14ac:dyDescent="0.25">
      <c r="A336" s="23" t="str">
        <f t="shared" si="10"/>
        <v>Please select an account</v>
      </c>
      <c r="B336" s="24" t="str">
        <f t="shared" si="11"/>
        <v>Please enter a date</v>
      </c>
      <c r="C336" s="11"/>
      <c r="D336" s="12"/>
      <c r="E336" s="6"/>
      <c r="F336" s="13"/>
      <c r="G336" s="9"/>
      <c r="H336" s="7"/>
      <c r="I336" s="7"/>
    </row>
    <row r="337" spans="1:9" x14ac:dyDescent="0.25">
      <c r="A337" s="23" t="str">
        <f t="shared" si="10"/>
        <v>Please select an account</v>
      </c>
      <c r="B337" s="24" t="str">
        <f t="shared" si="11"/>
        <v>Please enter a date</v>
      </c>
      <c r="C337" s="11"/>
      <c r="D337" s="12"/>
      <c r="E337" s="6"/>
      <c r="F337" s="13"/>
      <c r="G337" s="9"/>
      <c r="H337" s="7"/>
      <c r="I337" s="7"/>
    </row>
    <row r="338" spans="1:9" x14ac:dyDescent="0.25">
      <c r="A338" s="23" t="str">
        <f t="shared" si="10"/>
        <v>Please select an account</v>
      </c>
      <c r="B338" s="24" t="str">
        <f t="shared" si="11"/>
        <v>Please enter a date</v>
      </c>
      <c r="C338" s="11"/>
      <c r="D338" s="12"/>
      <c r="E338" s="6"/>
      <c r="F338" s="13"/>
      <c r="G338" s="9"/>
      <c r="H338" s="7"/>
      <c r="I338" s="7"/>
    </row>
    <row r="339" spans="1:9" x14ac:dyDescent="0.25">
      <c r="A339" s="23" t="str">
        <f t="shared" si="10"/>
        <v>Please select an account</v>
      </c>
      <c r="B339" s="24" t="str">
        <f t="shared" si="11"/>
        <v>Please enter a date</v>
      </c>
      <c r="C339" s="11"/>
      <c r="D339" s="12"/>
      <c r="E339" s="6"/>
      <c r="F339" s="13"/>
      <c r="G339" s="9"/>
      <c r="H339" s="7"/>
      <c r="I339" s="7"/>
    </row>
    <row r="340" spans="1:9" x14ac:dyDescent="0.25">
      <c r="A340" s="23" t="str">
        <f t="shared" si="10"/>
        <v>Please select an account</v>
      </c>
      <c r="B340" s="24" t="str">
        <f t="shared" si="11"/>
        <v>Please enter a date</v>
      </c>
      <c r="C340" s="11"/>
      <c r="D340" s="12"/>
      <c r="E340" s="6"/>
      <c r="F340" s="13"/>
      <c r="G340" s="9"/>
      <c r="H340" s="7"/>
      <c r="I340" s="7"/>
    </row>
    <row r="341" spans="1:9" x14ac:dyDescent="0.25">
      <c r="A341" s="23" t="str">
        <f t="shared" si="10"/>
        <v>Please select an account</v>
      </c>
      <c r="B341" s="24" t="str">
        <f t="shared" si="11"/>
        <v>Please enter a date</v>
      </c>
      <c r="C341" s="11"/>
      <c r="D341" s="12"/>
      <c r="E341" s="6"/>
      <c r="F341" s="13"/>
      <c r="G341" s="9"/>
      <c r="H341" s="7"/>
      <c r="I341" s="7"/>
    </row>
    <row r="342" spans="1:9" x14ac:dyDescent="0.25">
      <c r="A342" s="23" t="str">
        <f t="shared" si="10"/>
        <v>Please select an account</v>
      </c>
      <c r="B342" s="24" t="str">
        <f t="shared" si="11"/>
        <v>Please enter a date</v>
      </c>
      <c r="C342" s="11"/>
      <c r="D342" s="12"/>
      <c r="E342" s="6"/>
      <c r="F342" s="13"/>
      <c r="G342" s="9"/>
      <c r="H342" s="7"/>
      <c r="I342" s="7"/>
    </row>
    <row r="343" spans="1:9" x14ac:dyDescent="0.25">
      <c r="A343" s="23" t="str">
        <f t="shared" si="10"/>
        <v>Please select an account</v>
      </c>
      <c r="B343" s="24" t="str">
        <f t="shared" si="11"/>
        <v>Please enter a date</v>
      </c>
      <c r="C343" s="11"/>
      <c r="D343" s="12"/>
      <c r="E343" s="6"/>
      <c r="F343" s="13"/>
      <c r="G343" s="9"/>
      <c r="H343" s="7"/>
      <c r="I343" s="7"/>
    </row>
    <row r="344" spans="1:9" x14ac:dyDescent="0.25">
      <c r="A344" s="23" t="str">
        <f t="shared" si="10"/>
        <v>Please select an account</v>
      </c>
      <c r="B344" s="24" t="str">
        <f t="shared" si="11"/>
        <v>Please enter a date</v>
      </c>
      <c r="C344" s="11"/>
      <c r="D344" s="12"/>
      <c r="E344" s="6"/>
      <c r="F344" s="13"/>
      <c r="G344" s="9"/>
      <c r="H344" s="7"/>
      <c r="I344" s="7"/>
    </row>
    <row r="345" spans="1:9" x14ac:dyDescent="0.25">
      <c r="A345" s="23" t="str">
        <f t="shared" si="10"/>
        <v>Please select an account</v>
      </c>
      <c r="B345" s="24" t="str">
        <f t="shared" si="11"/>
        <v>Please enter a date</v>
      </c>
      <c r="C345" s="11"/>
      <c r="D345" s="12"/>
      <c r="E345" s="6"/>
      <c r="F345" s="13"/>
      <c r="G345" s="9"/>
      <c r="H345" s="7"/>
      <c r="I345" s="7"/>
    </row>
    <row r="346" spans="1:9" x14ac:dyDescent="0.25">
      <c r="A346" s="23" t="str">
        <f t="shared" si="10"/>
        <v>Please select an account</v>
      </c>
      <c r="B346" s="24" t="str">
        <f t="shared" si="11"/>
        <v>Please enter a date</v>
      </c>
      <c r="C346" s="11"/>
      <c r="D346" s="12"/>
      <c r="E346" s="6"/>
      <c r="F346" s="13"/>
      <c r="G346" s="9"/>
      <c r="H346" s="7"/>
      <c r="I346" s="7"/>
    </row>
    <row r="347" spans="1:9" x14ac:dyDescent="0.25">
      <c r="A347" s="23" t="str">
        <f t="shared" si="10"/>
        <v>Please select an account</v>
      </c>
      <c r="B347" s="24" t="str">
        <f t="shared" si="11"/>
        <v>Please enter a date</v>
      </c>
      <c r="C347" s="11"/>
      <c r="D347" s="12"/>
      <c r="E347" s="6"/>
      <c r="F347" s="13"/>
      <c r="G347" s="9"/>
      <c r="H347" s="7"/>
      <c r="I347" s="7"/>
    </row>
    <row r="348" spans="1:9" x14ac:dyDescent="0.25">
      <c r="A348" s="23" t="str">
        <f t="shared" si="10"/>
        <v>Please select an account</v>
      </c>
      <c r="B348" s="24" t="str">
        <f t="shared" si="11"/>
        <v>Please enter a date</v>
      </c>
      <c r="C348" s="11"/>
      <c r="D348" s="12"/>
      <c r="E348" s="6"/>
      <c r="F348" s="13"/>
      <c r="G348" s="9"/>
      <c r="H348" s="7"/>
      <c r="I348" s="7"/>
    </row>
    <row r="349" spans="1:9" x14ac:dyDescent="0.25">
      <c r="A349" s="23" t="str">
        <f t="shared" si="10"/>
        <v>Please select an account</v>
      </c>
      <c r="B349" s="24" t="str">
        <f t="shared" si="11"/>
        <v>Please enter a date</v>
      </c>
      <c r="C349" s="11"/>
      <c r="D349" s="12"/>
      <c r="E349" s="6"/>
      <c r="F349" s="13"/>
      <c r="G349" s="9"/>
      <c r="H349" s="7"/>
      <c r="I349" s="7"/>
    </row>
    <row r="350" spans="1:9" x14ac:dyDescent="0.25">
      <c r="A350" s="23" t="str">
        <f t="shared" si="10"/>
        <v>Please select an account</v>
      </c>
      <c r="B350" s="24" t="str">
        <f t="shared" si="11"/>
        <v>Please enter a date</v>
      </c>
      <c r="C350" s="11"/>
      <c r="D350" s="12"/>
      <c r="E350" s="6"/>
      <c r="F350" s="13"/>
      <c r="G350" s="9"/>
      <c r="H350" s="7"/>
      <c r="I350" s="7"/>
    </row>
    <row r="351" spans="1:9" x14ac:dyDescent="0.25">
      <c r="A351" s="23" t="str">
        <f t="shared" si="10"/>
        <v>Please select an account</v>
      </c>
      <c r="B351" s="24" t="str">
        <f t="shared" si="11"/>
        <v>Please enter a date</v>
      </c>
      <c r="C351" s="11"/>
      <c r="D351" s="12"/>
      <c r="E351" s="6"/>
      <c r="F351" s="13"/>
      <c r="G351" s="9"/>
      <c r="H351" s="7"/>
      <c r="I351" s="7"/>
    </row>
    <row r="352" spans="1:9" x14ac:dyDescent="0.25">
      <c r="A352" s="23" t="str">
        <f t="shared" si="10"/>
        <v>Please select an account</v>
      </c>
      <c r="B352" s="24" t="str">
        <f t="shared" si="11"/>
        <v>Please enter a date</v>
      </c>
      <c r="C352" s="11"/>
      <c r="D352" s="12"/>
      <c r="E352" s="6"/>
      <c r="F352" s="13"/>
      <c r="G352" s="9"/>
      <c r="H352" s="7"/>
      <c r="I352" s="7"/>
    </row>
    <row r="353" spans="1:9" x14ac:dyDescent="0.25">
      <c r="A353" s="23" t="str">
        <f t="shared" si="10"/>
        <v>Please select an account</v>
      </c>
      <c r="B353" s="24" t="str">
        <f t="shared" si="11"/>
        <v>Please enter a date</v>
      </c>
      <c r="C353" s="11"/>
      <c r="D353" s="12"/>
      <c r="E353" s="6"/>
      <c r="F353" s="13"/>
      <c r="G353" s="9"/>
      <c r="H353" s="7"/>
      <c r="I353" s="7"/>
    </row>
    <row r="354" spans="1:9" x14ac:dyDescent="0.25">
      <c r="A354" s="23" t="str">
        <f t="shared" si="10"/>
        <v>Please select an account</v>
      </c>
      <c r="B354" s="24" t="str">
        <f t="shared" si="11"/>
        <v>Please enter a date</v>
      </c>
      <c r="C354" s="11"/>
      <c r="D354" s="12"/>
      <c r="E354" s="6"/>
      <c r="F354" s="13"/>
      <c r="G354" s="9"/>
      <c r="H354" s="7"/>
      <c r="I354" s="7"/>
    </row>
    <row r="355" spans="1:9" x14ac:dyDescent="0.25">
      <c r="A355" s="23" t="str">
        <f t="shared" si="10"/>
        <v>Please select an account</v>
      </c>
      <c r="B355" s="24" t="str">
        <f t="shared" si="11"/>
        <v>Please enter a date</v>
      </c>
      <c r="C355" s="11"/>
      <c r="D355" s="12"/>
      <c r="E355" s="6"/>
      <c r="F355" s="13"/>
      <c r="G355" s="9"/>
      <c r="H355" s="7"/>
      <c r="I355" s="7"/>
    </row>
    <row r="356" spans="1:9" x14ac:dyDescent="0.25">
      <c r="A356" s="23" t="str">
        <f t="shared" si="10"/>
        <v>Please select an account</v>
      </c>
      <c r="B356" s="24" t="str">
        <f t="shared" si="11"/>
        <v>Please enter a date</v>
      </c>
      <c r="C356" s="11"/>
      <c r="D356" s="12"/>
      <c r="E356" s="6"/>
      <c r="F356" s="13"/>
      <c r="G356" s="9"/>
      <c r="H356" s="7"/>
      <c r="I356" s="7"/>
    </row>
    <row r="357" spans="1:9" x14ac:dyDescent="0.25">
      <c r="A357" s="23" t="str">
        <f t="shared" si="10"/>
        <v>Please select an account</v>
      </c>
      <c r="B357" s="24" t="str">
        <f t="shared" si="11"/>
        <v>Please enter a date</v>
      </c>
      <c r="C357" s="11"/>
      <c r="D357" s="12"/>
      <c r="E357" s="6"/>
      <c r="F357" s="13"/>
      <c r="G357" s="9"/>
      <c r="H357" s="7"/>
      <c r="I357" s="7"/>
    </row>
    <row r="358" spans="1:9" x14ac:dyDescent="0.25">
      <c r="A358" s="23" t="str">
        <f t="shared" si="10"/>
        <v>Please select an account</v>
      </c>
      <c r="B358" s="24" t="str">
        <f t="shared" si="11"/>
        <v>Please enter a date</v>
      </c>
      <c r="C358" s="11"/>
      <c r="D358" s="12"/>
      <c r="E358" s="6"/>
      <c r="F358" s="13"/>
      <c r="G358" s="9"/>
      <c r="H358" s="7"/>
      <c r="I358" s="7"/>
    </row>
    <row r="359" spans="1:9" x14ac:dyDescent="0.25">
      <c r="A359" s="23" t="str">
        <f t="shared" si="10"/>
        <v>Please select an account</v>
      </c>
      <c r="B359" s="24" t="str">
        <f t="shared" si="11"/>
        <v>Please enter a date</v>
      </c>
      <c r="C359" s="11"/>
      <c r="D359" s="12"/>
      <c r="E359" s="6"/>
      <c r="F359" s="13"/>
      <c r="G359" s="9"/>
      <c r="H359" s="7"/>
      <c r="I359" s="7"/>
    </row>
    <row r="360" spans="1:9" x14ac:dyDescent="0.25">
      <c r="A360" s="23" t="str">
        <f t="shared" si="10"/>
        <v>Please select an account</v>
      </c>
      <c r="B360" s="24" t="str">
        <f t="shared" si="11"/>
        <v>Please enter a date</v>
      </c>
      <c r="C360" s="11"/>
      <c r="D360" s="12"/>
      <c r="E360" s="6"/>
      <c r="F360" s="13"/>
      <c r="G360" s="9"/>
      <c r="H360" s="7"/>
      <c r="I360" s="7"/>
    </row>
    <row r="361" spans="1:9" x14ac:dyDescent="0.25">
      <c r="A361" s="23" t="str">
        <f t="shared" si="10"/>
        <v>Please select an account</v>
      </c>
      <c r="B361" s="24" t="str">
        <f t="shared" si="11"/>
        <v>Please enter a date</v>
      </c>
      <c r="C361" s="11"/>
      <c r="D361" s="12"/>
      <c r="E361" s="6"/>
      <c r="F361" s="13"/>
      <c r="G361" s="9"/>
      <c r="H361" s="7"/>
      <c r="I361" s="7"/>
    </row>
    <row r="362" spans="1:9" x14ac:dyDescent="0.25">
      <c r="A362" s="23" t="str">
        <f t="shared" si="10"/>
        <v>Please select an account</v>
      </c>
      <c r="B362" s="24" t="str">
        <f t="shared" si="11"/>
        <v>Please enter a date</v>
      </c>
      <c r="C362" s="11"/>
      <c r="D362" s="12"/>
      <c r="E362" s="6"/>
      <c r="F362" s="13"/>
      <c r="G362" s="9"/>
      <c r="H362" s="7"/>
      <c r="I362" s="7"/>
    </row>
    <row r="363" spans="1:9" x14ac:dyDescent="0.25">
      <c r="A363" s="23" t="str">
        <f t="shared" si="10"/>
        <v>Please select an account</v>
      </c>
      <c r="B363" s="24" t="str">
        <f t="shared" si="11"/>
        <v>Please enter a date</v>
      </c>
      <c r="C363" s="11"/>
      <c r="D363" s="12"/>
      <c r="E363" s="6"/>
      <c r="F363" s="13"/>
      <c r="G363" s="9"/>
      <c r="H363" s="7"/>
      <c r="I363" s="7"/>
    </row>
    <row r="364" spans="1:9" x14ac:dyDescent="0.25">
      <c r="A364" s="23" t="str">
        <f t="shared" si="10"/>
        <v>Please select an account</v>
      </c>
      <c r="B364" s="24" t="str">
        <f t="shared" si="11"/>
        <v>Please enter a date</v>
      </c>
      <c r="C364" s="11"/>
      <c r="D364" s="12"/>
      <c r="E364" s="6"/>
      <c r="F364" s="13"/>
      <c r="G364" s="9"/>
      <c r="H364" s="7"/>
      <c r="I364" s="7"/>
    </row>
    <row r="365" spans="1:9" x14ac:dyDescent="0.25">
      <c r="A365" s="23" t="str">
        <f t="shared" si="10"/>
        <v>Please select an account</v>
      </c>
      <c r="B365" s="24" t="str">
        <f t="shared" si="11"/>
        <v>Please enter a date</v>
      </c>
      <c r="C365" s="11"/>
      <c r="D365" s="12"/>
      <c r="E365" s="6"/>
      <c r="F365" s="13"/>
      <c r="G365" s="9"/>
      <c r="H365" s="7"/>
      <c r="I365" s="7"/>
    </row>
    <row r="366" spans="1:9" x14ac:dyDescent="0.25">
      <c r="A366" s="23" t="str">
        <f t="shared" si="10"/>
        <v>Please select an account</v>
      </c>
      <c r="B366" s="24" t="str">
        <f t="shared" si="11"/>
        <v>Please enter a date</v>
      </c>
      <c r="C366" s="11"/>
      <c r="D366" s="12"/>
      <c r="E366" s="6"/>
      <c r="F366" s="13"/>
      <c r="G366" s="9"/>
      <c r="H366" s="7"/>
      <c r="I366" s="7"/>
    </row>
    <row r="367" spans="1:9" x14ac:dyDescent="0.25">
      <c r="A367" s="23" t="str">
        <f t="shared" si="10"/>
        <v>Please select an account</v>
      </c>
      <c r="B367" s="24" t="str">
        <f t="shared" si="11"/>
        <v>Please enter a date</v>
      </c>
      <c r="C367" s="11"/>
      <c r="D367" s="12"/>
      <c r="E367" s="6"/>
      <c r="F367" s="13"/>
      <c r="G367" s="9"/>
      <c r="H367" s="7"/>
      <c r="I367" s="7"/>
    </row>
    <row r="368" spans="1:9" x14ac:dyDescent="0.25">
      <c r="A368" s="23" t="str">
        <f t="shared" si="10"/>
        <v>Please select an account</v>
      </c>
      <c r="B368" s="24" t="str">
        <f t="shared" si="11"/>
        <v>Please enter a date</v>
      </c>
      <c r="C368" s="11"/>
      <c r="D368" s="12"/>
      <c r="E368" s="6"/>
      <c r="F368" s="13"/>
      <c r="G368" s="9"/>
      <c r="H368" s="7"/>
      <c r="I368" s="7"/>
    </row>
    <row r="369" spans="1:9" x14ac:dyDescent="0.25">
      <c r="A369" s="23" t="str">
        <f t="shared" si="10"/>
        <v>Please select an account</v>
      </c>
      <c r="B369" s="24" t="str">
        <f t="shared" si="11"/>
        <v>Please enter a date</v>
      </c>
      <c r="C369" s="11"/>
      <c r="D369" s="12"/>
      <c r="E369" s="6"/>
      <c r="F369" s="13"/>
      <c r="G369" s="9"/>
      <c r="H369" s="7"/>
      <c r="I369" s="7"/>
    </row>
    <row r="370" spans="1:9" x14ac:dyDescent="0.25">
      <c r="A370" s="23" t="str">
        <f t="shared" si="10"/>
        <v>Please select an account</v>
      </c>
      <c r="B370" s="24" t="str">
        <f t="shared" si="11"/>
        <v>Please enter a date</v>
      </c>
      <c r="C370" s="11"/>
      <c r="D370" s="12"/>
      <c r="E370" s="6"/>
      <c r="F370" s="13"/>
      <c r="G370" s="9"/>
      <c r="H370" s="7"/>
      <c r="I370" s="7"/>
    </row>
    <row r="371" spans="1:9" x14ac:dyDescent="0.25">
      <c r="A371" s="23" t="str">
        <f t="shared" si="10"/>
        <v>Please select an account</v>
      </c>
      <c r="B371" s="24" t="str">
        <f t="shared" si="11"/>
        <v>Please enter a date</v>
      </c>
      <c r="C371" s="11"/>
      <c r="D371" s="12"/>
      <c r="E371" s="6"/>
      <c r="F371" s="13"/>
      <c r="G371" s="9"/>
      <c r="H371" s="7"/>
      <c r="I371" s="7"/>
    </row>
    <row r="372" spans="1:9" x14ac:dyDescent="0.25">
      <c r="A372" s="23" t="str">
        <f t="shared" si="10"/>
        <v>Please select an account</v>
      </c>
      <c r="B372" s="24" t="str">
        <f t="shared" si="11"/>
        <v>Please enter a date</v>
      </c>
      <c r="C372" s="11"/>
      <c r="D372" s="12"/>
      <c r="E372" s="6"/>
      <c r="F372" s="13"/>
      <c r="G372" s="9"/>
      <c r="H372" s="7"/>
      <c r="I372" s="7"/>
    </row>
    <row r="373" spans="1:9" x14ac:dyDescent="0.25">
      <c r="A373" s="23" t="str">
        <f t="shared" si="10"/>
        <v>Please select an account</v>
      </c>
      <c r="B373" s="24" t="str">
        <f t="shared" si="11"/>
        <v>Please enter a date</v>
      </c>
      <c r="C373" s="11"/>
      <c r="D373" s="12"/>
      <c r="E373" s="6"/>
      <c r="F373" s="13"/>
      <c r="G373" s="9"/>
      <c r="H373" s="7"/>
      <c r="I373" s="7"/>
    </row>
    <row r="374" spans="1:9" x14ac:dyDescent="0.25">
      <c r="A374" s="23" t="str">
        <f t="shared" si="10"/>
        <v>Please select an account</v>
      </c>
      <c r="B374" s="24" t="str">
        <f t="shared" si="11"/>
        <v>Please enter a date</v>
      </c>
      <c r="C374" s="11"/>
      <c r="D374" s="12"/>
      <c r="E374" s="6"/>
      <c r="F374" s="13"/>
      <c r="G374" s="9"/>
      <c r="H374" s="7"/>
      <c r="I374" s="7"/>
    </row>
    <row r="375" spans="1:9" x14ac:dyDescent="0.25">
      <c r="A375" s="23" t="str">
        <f t="shared" si="10"/>
        <v>Please select an account</v>
      </c>
      <c r="B375" s="24" t="str">
        <f t="shared" si="11"/>
        <v>Please enter a date</v>
      </c>
      <c r="C375" s="11"/>
      <c r="D375" s="12"/>
      <c r="E375" s="6"/>
      <c r="F375" s="13"/>
      <c r="G375" s="9"/>
      <c r="H375" s="7"/>
      <c r="I375" s="7"/>
    </row>
    <row r="376" spans="1:9" x14ac:dyDescent="0.25">
      <c r="A376" s="23" t="str">
        <f t="shared" si="10"/>
        <v>Please select an account</v>
      </c>
      <c r="B376" s="24" t="str">
        <f t="shared" si="11"/>
        <v>Please enter a date</v>
      </c>
      <c r="C376" s="11"/>
      <c r="D376" s="12"/>
      <c r="E376" s="6"/>
      <c r="F376" s="13"/>
      <c r="G376" s="9"/>
      <c r="H376" s="7"/>
      <c r="I376" s="7"/>
    </row>
    <row r="377" spans="1:9" x14ac:dyDescent="0.25">
      <c r="A377" s="23" t="str">
        <f t="shared" si="10"/>
        <v>Please select an account</v>
      </c>
      <c r="B377" s="24" t="str">
        <f t="shared" si="11"/>
        <v>Please enter a date</v>
      </c>
      <c r="C377" s="11"/>
      <c r="D377" s="12"/>
      <c r="E377" s="6"/>
      <c r="F377" s="13"/>
      <c r="G377" s="9"/>
      <c r="H377" s="7"/>
      <c r="I377" s="7"/>
    </row>
    <row r="378" spans="1:9" x14ac:dyDescent="0.25">
      <c r="A378" s="23" t="str">
        <f t="shared" si="10"/>
        <v>Please select an account</v>
      </c>
      <c r="B378" s="24" t="str">
        <f t="shared" si="11"/>
        <v>Please enter a date</v>
      </c>
      <c r="C378" s="11"/>
      <c r="D378" s="12"/>
      <c r="E378" s="6"/>
      <c r="F378" s="13"/>
      <c r="G378" s="9"/>
      <c r="H378" s="7"/>
      <c r="I378" s="7"/>
    </row>
    <row r="379" spans="1:9" x14ac:dyDescent="0.25">
      <c r="A379" s="23" t="str">
        <f t="shared" si="10"/>
        <v>Please select an account</v>
      </c>
      <c r="B379" s="24" t="str">
        <f t="shared" si="11"/>
        <v>Please enter a date</v>
      </c>
      <c r="C379" s="11"/>
      <c r="D379" s="12"/>
      <c r="E379" s="6"/>
      <c r="F379" s="13"/>
      <c r="G379" s="9"/>
      <c r="H379" s="7"/>
      <c r="I379" s="7"/>
    </row>
    <row r="380" spans="1:9" x14ac:dyDescent="0.25">
      <c r="A380" s="23" t="str">
        <f t="shared" si="10"/>
        <v>Please select an account</v>
      </c>
      <c r="B380" s="24" t="str">
        <f t="shared" si="11"/>
        <v>Please enter a date</v>
      </c>
      <c r="C380" s="11"/>
      <c r="D380" s="12"/>
      <c r="E380" s="6"/>
      <c r="F380" s="13"/>
      <c r="G380" s="9"/>
      <c r="H380" s="7"/>
      <c r="I380" s="7"/>
    </row>
    <row r="381" spans="1:9" x14ac:dyDescent="0.25">
      <c r="A381" s="23" t="str">
        <f t="shared" si="10"/>
        <v>Please select an account</v>
      </c>
      <c r="B381" s="24" t="str">
        <f t="shared" si="11"/>
        <v>Please enter a date</v>
      </c>
      <c r="C381" s="11"/>
      <c r="D381" s="12"/>
      <c r="E381" s="6"/>
      <c r="F381" s="13"/>
      <c r="G381" s="9"/>
      <c r="H381" s="7"/>
      <c r="I381" s="7"/>
    </row>
    <row r="382" spans="1:9" x14ac:dyDescent="0.25">
      <c r="A382" s="23" t="str">
        <f t="shared" si="10"/>
        <v>Please select an account</v>
      </c>
      <c r="B382" s="24" t="str">
        <f t="shared" si="11"/>
        <v>Please enter a date</v>
      </c>
      <c r="C382" s="11"/>
      <c r="D382" s="12"/>
      <c r="E382" s="6"/>
      <c r="F382" s="13"/>
      <c r="G382" s="9"/>
      <c r="H382" s="7"/>
      <c r="I382" s="7"/>
    </row>
    <row r="383" spans="1:9" x14ac:dyDescent="0.25">
      <c r="A383" s="23" t="str">
        <f t="shared" si="10"/>
        <v>Please select an account</v>
      </c>
      <c r="B383" s="24" t="str">
        <f t="shared" si="11"/>
        <v>Please enter a date</v>
      </c>
      <c r="C383" s="11"/>
      <c r="D383" s="12"/>
      <c r="E383" s="6"/>
      <c r="F383" s="13"/>
      <c r="G383" s="9"/>
      <c r="H383" s="7"/>
      <c r="I383" s="7"/>
    </row>
    <row r="384" spans="1:9" x14ac:dyDescent="0.25">
      <c r="A384" s="23" t="str">
        <f t="shared" si="10"/>
        <v>Please select an account</v>
      </c>
      <c r="B384" s="24" t="str">
        <f t="shared" si="11"/>
        <v>Please enter a date</v>
      </c>
      <c r="C384" s="11"/>
      <c r="D384" s="12"/>
      <c r="E384" s="6"/>
      <c r="F384" s="13"/>
      <c r="G384" s="9"/>
      <c r="H384" s="7"/>
      <c r="I384" s="7"/>
    </row>
    <row r="385" spans="1:9" x14ac:dyDescent="0.25">
      <c r="A385" s="23" t="str">
        <f t="shared" si="10"/>
        <v>Please select an account</v>
      </c>
      <c r="B385" s="24" t="str">
        <f t="shared" si="11"/>
        <v>Please enter a date</v>
      </c>
      <c r="C385" s="11"/>
      <c r="D385" s="12"/>
      <c r="E385" s="6"/>
      <c r="F385" s="13"/>
      <c r="G385" s="9"/>
      <c r="H385" s="7"/>
      <c r="I385" s="7"/>
    </row>
    <row r="386" spans="1:9" x14ac:dyDescent="0.25">
      <c r="A386" s="23" t="str">
        <f t="shared" si="10"/>
        <v>Please select an account</v>
      </c>
      <c r="B386" s="24" t="str">
        <f t="shared" si="11"/>
        <v>Please enter a date</v>
      </c>
      <c r="C386" s="11"/>
      <c r="D386" s="12"/>
      <c r="E386" s="6"/>
      <c r="F386" s="13"/>
      <c r="G386" s="9"/>
      <c r="H386" s="7"/>
      <c r="I386" s="7"/>
    </row>
    <row r="387" spans="1:9" x14ac:dyDescent="0.25">
      <c r="A387" s="23" t="str">
        <f t="shared" si="10"/>
        <v>Please select an account</v>
      </c>
      <c r="B387" s="24" t="str">
        <f t="shared" si="11"/>
        <v>Please enter a date</v>
      </c>
      <c r="C387" s="11"/>
      <c r="D387" s="12"/>
      <c r="E387" s="6"/>
      <c r="F387" s="13"/>
      <c r="G387" s="9"/>
      <c r="H387" s="7"/>
      <c r="I387" s="7"/>
    </row>
    <row r="388" spans="1:9" x14ac:dyDescent="0.25">
      <c r="A388" s="23" t="str">
        <f t="shared" si="10"/>
        <v>Please select an account</v>
      </c>
      <c r="B388" s="24" t="str">
        <f t="shared" si="11"/>
        <v>Please enter a date</v>
      </c>
      <c r="C388" s="11"/>
      <c r="D388" s="12"/>
      <c r="E388" s="6"/>
      <c r="F388" s="13"/>
      <c r="G388" s="9"/>
      <c r="H388" s="7"/>
      <c r="I388" s="7"/>
    </row>
    <row r="389" spans="1:9" x14ac:dyDescent="0.25">
      <c r="A389" s="23" t="str">
        <f t="shared" si="10"/>
        <v>Please select an account</v>
      </c>
      <c r="B389" s="24" t="str">
        <f t="shared" si="11"/>
        <v>Please enter a date</v>
      </c>
      <c r="C389" s="11"/>
      <c r="D389" s="12"/>
      <c r="E389" s="6"/>
      <c r="F389" s="13"/>
      <c r="G389" s="9"/>
      <c r="H389" s="7"/>
      <c r="I389" s="7"/>
    </row>
    <row r="390" spans="1:9" x14ac:dyDescent="0.25">
      <c r="A390" s="23" t="str">
        <f t="shared" ref="A390:A453" si="12">IF($A$2=0,"Please select an account",$A$2)</f>
        <v>Please select an account</v>
      </c>
      <c r="B390" s="24" t="str">
        <f t="shared" ref="B390:B453" si="13">IF(TEXT($B$2,"YYYY-MM-DD")&lt;&gt;"1900-01-00",TEXT($B$2,"YYYY-MM-DD"),"Please enter a date")</f>
        <v>Please enter a date</v>
      </c>
      <c r="C390" s="11"/>
      <c r="D390" s="12"/>
      <c r="E390" s="6"/>
      <c r="F390" s="13"/>
      <c r="G390" s="9"/>
      <c r="H390" s="7"/>
      <c r="I390" s="7"/>
    </row>
    <row r="391" spans="1:9" x14ac:dyDescent="0.25">
      <c r="A391" s="23" t="str">
        <f t="shared" si="12"/>
        <v>Please select an account</v>
      </c>
      <c r="B391" s="24" t="str">
        <f t="shared" si="13"/>
        <v>Please enter a date</v>
      </c>
      <c r="C391" s="11"/>
      <c r="D391" s="12"/>
      <c r="E391" s="6"/>
      <c r="F391" s="13"/>
      <c r="G391" s="9"/>
      <c r="H391" s="7"/>
      <c r="I391" s="7"/>
    </row>
    <row r="392" spans="1:9" x14ac:dyDescent="0.25">
      <c r="A392" s="23" t="str">
        <f t="shared" si="12"/>
        <v>Please select an account</v>
      </c>
      <c r="B392" s="24" t="str">
        <f t="shared" si="13"/>
        <v>Please enter a date</v>
      </c>
      <c r="C392" s="11"/>
      <c r="D392" s="12"/>
      <c r="E392" s="6"/>
      <c r="F392" s="13"/>
      <c r="G392" s="9"/>
      <c r="H392" s="7"/>
      <c r="I392" s="7"/>
    </row>
    <row r="393" spans="1:9" x14ac:dyDescent="0.25">
      <c r="A393" s="23" t="str">
        <f t="shared" si="12"/>
        <v>Please select an account</v>
      </c>
      <c r="B393" s="24" t="str">
        <f t="shared" si="13"/>
        <v>Please enter a date</v>
      </c>
      <c r="C393" s="11"/>
      <c r="D393" s="12"/>
      <c r="E393" s="6"/>
      <c r="F393" s="13"/>
      <c r="G393" s="9"/>
      <c r="H393" s="7"/>
      <c r="I393" s="7"/>
    </row>
    <row r="394" spans="1:9" x14ac:dyDescent="0.25">
      <c r="A394" s="23" t="str">
        <f t="shared" si="12"/>
        <v>Please select an account</v>
      </c>
      <c r="B394" s="24" t="str">
        <f t="shared" si="13"/>
        <v>Please enter a date</v>
      </c>
      <c r="C394" s="11"/>
      <c r="D394" s="12"/>
      <c r="E394" s="6"/>
      <c r="F394" s="13"/>
      <c r="G394" s="9"/>
      <c r="H394" s="7"/>
      <c r="I394" s="7"/>
    </row>
    <row r="395" spans="1:9" x14ac:dyDescent="0.25">
      <c r="A395" s="23" t="str">
        <f t="shared" si="12"/>
        <v>Please select an account</v>
      </c>
      <c r="B395" s="24" t="str">
        <f t="shared" si="13"/>
        <v>Please enter a date</v>
      </c>
      <c r="C395" s="11"/>
      <c r="D395" s="12"/>
      <c r="E395" s="6"/>
      <c r="F395" s="13"/>
      <c r="G395" s="9"/>
      <c r="H395" s="7"/>
      <c r="I395" s="7"/>
    </row>
    <row r="396" spans="1:9" x14ac:dyDescent="0.25">
      <c r="A396" s="23" t="str">
        <f t="shared" si="12"/>
        <v>Please select an account</v>
      </c>
      <c r="B396" s="24" t="str">
        <f t="shared" si="13"/>
        <v>Please enter a date</v>
      </c>
      <c r="C396" s="11"/>
      <c r="D396" s="12"/>
      <c r="E396" s="6"/>
      <c r="F396" s="13"/>
      <c r="G396" s="9"/>
      <c r="H396" s="7"/>
      <c r="I396" s="7"/>
    </row>
    <row r="397" spans="1:9" x14ac:dyDescent="0.25">
      <c r="A397" s="23" t="str">
        <f t="shared" si="12"/>
        <v>Please select an account</v>
      </c>
      <c r="B397" s="24" t="str">
        <f t="shared" si="13"/>
        <v>Please enter a date</v>
      </c>
      <c r="C397" s="11"/>
      <c r="D397" s="12"/>
      <c r="E397" s="6"/>
      <c r="F397" s="13"/>
      <c r="G397" s="9"/>
      <c r="H397" s="7"/>
      <c r="I397" s="7"/>
    </row>
    <row r="398" spans="1:9" x14ac:dyDescent="0.25">
      <c r="A398" s="23" t="str">
        <f t="shared" si="12"/>
        <v>Please select an account</v>
      </c>
      <c r="B398" s="24" t="str">
        <f t="shared" si="13"/>
        <v>Please enter a date</v>
      </c>
      <c r="C398" s="11"/>
      <c r="D398" s="12"/>
      <c r="E398" s="6"/>
      <c r="F398" s="13"/>
      <c r="G398" s="9"/>
      <c r="H398" s="7"/>
      <c r="I398" s="7"/>
    </row>
    <row r="399" spans="1:9" x14ac:dyDescent="0.25">
      <c r="A399" s="23" t="str">
        <f t="shared" si="12"/>
        <v>Please select an account</v>
      </c>
      <c r="B399" s="24" t="str">
        <f t="shared" si="13"/>
        <v>Please enter a date</v>
      </c>
      <c r="C399" s="11"/>
      <c r="D399" s="12"/>
      <c r="E399" s="6"/>
      <c r="F399" s="13"/>
      <c r="G399" s="9"/>
      <c r="H399" s="7"/>
      <c r="I399" s="7"/>
    </row>
    <row r="400" spans="1:9" x14ac:dyDescent="0.25">
      <c r="A400" s="23" t="str">
        <f t="shared" si="12"/>
        <v>Please select an account</v>
      </c>
      <c r="B400" s="24" t="str">
        <f t="shared" si="13"/>
        <v>Please enter a date</v>
      </c>
      <c r="C400" s="11"/>
      <c r="D400" s="12"/>
      <c r="E400" s="6"/>
      <c r="F400" s="13"/>
      <c r="G400" s="9"/>
      <c r="H400" s="7"/>
      <c r="I400" s="7"/>
    </row>
    <row r="401" spans="1:9" x14ac:dyDescent="0.25">
      <c r="A401" s="23" t="str">
        <f t="shared" si="12"/>
        <v>Please select an account</v>
      </c>
      <c r="B401" s="24" t="str">
        <f t="shared" si="13"/>
        <v>Please enter a date</v>
      </c>
      <c r="C401" s="11"/>
      <c r="D401" s="12"/>
      <c r="E401" s="6"/>
      <c r="F401" s="13"/>
      <c r="G401" s="9"/>
      <c r="H401" s="7"/>
      <c r="I401" s="7"/>
    </row>
    <row r="402" spans="1:9" x14ac:dyDescent="0.25">
      <c r="A402" s="23" t="str">
        <f t="shared" si="12"/>
        <v>Please select an account</v>
      </c>
      <c r="B402" s="24" t="str">
        <f t="shared" si="13"/>
        <v>Please enter a date</v>
      </c>
      <c r="C402" s="11"/>
      <c r="D402" s="12"/>
      <c r="E402" s="6"/>
      <c r="F402" s="13"/>
      <c r="G402" s="9"/>
      <c r="H402" s="7"/>
      <c r="I402" s="7"/>
    </row>
    <row r="403" spans="1:9" x14ac:dyDescent="0.25">
      <c r="A403" s="23" t="str">
        <f t="shared" si="12"/>
        <v>Please select an account</v>
      </c>
      <c r="B403" s="24" t="str">
        <f t="shared" si="13"/>
        <v>Please enter a date</v>
      </c>
      <c r="C403" s="11"/>
      <c r="D403" s="12"/>
      <c r="E403" s="6"/>
      <c r="F403" s="13"/>
      <c r="G403" s="9"/>
      <c r="H403" s="7"/>
      <c r="I403" s="7"/>
    </row>
    <row r="404" spans="1:9" x14ac:dyDescent="0.25">
      <c r="A404" s="23" t="str">
        <f t="shared" si="12"/>
        <v>Please select an account</v>
      </c>
      <c r="B404" s="24" t="str">
        <f t="shared" si="13"/>
        <v>Please enter a date</v>
      </c>
      <c r="C404" s="11"/>
      <c r="D404" s="12"/>
      <c r="E404" s="6"/>
      <c r="F404" s="13"/>
      <c r="G404" s="9"/>
      <c r="H404" s="7"/>
      <c r="I404" s="7"/>
    </row>
    <row r="405" spans="1:9" x14ac:dyDescent="0.25">
      <c r="A405" s="23" t="str">
        <f t="shared" si="12"/>
        <v>Please select an account</v>
      </c>
      <c r="B405" s="24" t="str">
        <f t="shared" si="13"/>
        <v>Please enter a date</v>
      </c>
      <c r="C405" s="11"/>
      <c r="D405" s="12"/>
      <c r="E405" s="6"/>
      <c r="F405" s="13"/>
      <c r="G405" s="9"/>
      <c r="H405" s="7"/>
      <c r="I405" s="7"/>
    </row>
    <row r="406" spans="1:9" x14ac:dyDescent="0.25">
      <c r="A406" s="23" t="str">
        <f t="shared" si="12"/>
        <v>Please select an account</v>
      </c>
      <c r="B406" s="24" t="str">
        <f t="shared" si="13"/>
        <v>Please enter a date</v>
      </c>
      <c r="C406" s="11"/>
      <c r="D406" s="12"/>
      <c r="E406" s="6"/>
      <c r="F406" s="13"/>
      <c r="G406" s="9"/>
      <c r="H406" s="7"/>
      <c r="I406" s="7"/>
    </row>
    <row r="407" spans="1:9" x14ac:dyDescent="0.25">
      <c r="A407" s="23" t="str">
        <f t="shared" si="12"/>
        <v>Please select an account</v>
      </c>
      <c r="B407" s="24" t="str">
        <f t="shared" si="13"/>
        <v>Please enter a date</v>
      </c>
      <c r="C407" s="11"/>
      <c r="D407" s="12"/>
      <c r="E407" s="6"/>
      <c r="F407" s="13"/>
      <c r="G407" s="9"/>
      <c r="H407" s="7"/>
      <c r="I407" s="7"/>
    </row>
    <row r="408" spans="1:9" x14ac:dyDescent="0.25">
      <c r="A408" s="23" t="str">
        <f t="shared" si="12"/>
        <v>Please select an account</v>
      </c>
      <c r="B408" s="24" t="str">
        <f t="shared" si="13"/>
        <v>Please enter a date</v>
      </c>
      <c r="C408" s="11"/>
      <c r="D408" s="12"/>
      <c r="E408" s="6"/>
      <c r="F408" s="13"/>
      <c r="G408" s="9"/>
      <c r="H408" s="7"/>
      <c r="I408" s="7"/>
    </row>
    <row r="409" spans="1:9" x14ac:dyDescent="0.25">
      <c r="A409" s="23" t="str">
        <f t="shared" si="12"/>
        <v>Please select an account</v>
      </c>
      <c r="B409" s="24" t="str">
        <f t="shared" si="13"/>
        <v>Please enter a date</v>
      </c>
      <c r="C409" s="11"/>
      <c r="D409" s="12"/>
      <c r="E409" s="6"/>
      <c r="F409" s="13"/>
      <c r="G409" s="9"/>
      <c r="H409" s="7"/>
      <c r="I409" s="7"/>
    </row>
    <row r="410" spans="1:9" x14ac:dyDescent="0.25">
      <c r="A410" s="23" t="str">
        <f t="shared" si="12"/>
        <v>Please select an account</v>
      </c>
      <c r="B410" s="24" t="str">
        <f t="shared" si="13"/>
        <v>Please enter a date</v>
      </c>
      <c r="C410" s="11"/>
      <c r="D410" s="12"/>
      <c r="E410" s="6"/>
      <c r="F410" s="13"/>
      <c r="G410" s="9"/>
      <c r="H410" s="7"/>
      <c r="I410" s="7"/>
    </row>
    <row r="411" spans="1:9" x14ac:dyDescent="0.25">
      <c r="A411" s="23" t="str">
        <f t="shared" si="12"/>
        <v>Please select an account</v>
      </c>
      <c r="B411" s="24" t="str">
        <f t="shared" si="13"/>
        <v>Please enter a date</v>
      </c>
      <c r="C411" s="11"/>
      <c r="D411" s="12"/>
      <c r="E411" s="6"/>
      <c r="F411" s="13"/>
      <c r="G411" s="9"/>
      <c r="H411" s="7"/>
      <c r="I411" s="7"/>
    </row>
    <row r="412" spans="1:9" x14ac:dyDescent="0.25">
      <c r="A412" s="23" t="str">
        <f t="shared" si="12"/>
        <v>Please select an account</v>
      </c>
      <c r="B412" s="24" t="str">
        <f t="shared" si="13"/>
        <v>Please enter a date</v>
      </c>
      <c r="C412" s="11"/>
      <c r="D412" s="12"/>
      <c r="E412" s="6"/>
      <c r="F412" s="13"/>
      <c r="G412" s="9"/>
      <c r="H412" s="7"/>
      <c r="I412" s="7"/>
    </row>
    <row r="413" spans="1:9" x14ac:dyDescent="0.25">
      <c r="A413" s="23" t="str">
        <f t="shared" si="12"/>
        <v>Please select an account</v>
      </c>
      <c r="B413" s="24" t="str">
        <f t="shared" si="13"/>
        <v>Please enter a date</v>
      </c>
      <c r="C413" s="11"/>
      <c r="D413" s="12"/>
      <c r="E413" s="6"/>
      <c r="F413" s="13"/>
      <c r="G413" s="9"/>
      <c r="H413" s="7"/>
      <c r="I413" s="7"/>
    </row>
    <row r="414" spans="1:9" x14ac:dyDescent="0.25">
      <c r="A414" s="23" t="str">
        <f t="shared" si="12"/>
        <v>Please select an account</v>
      </c>
      <c r="B414" s="24" t="str">
        <f t="shared" si="13"/>
        <v>Please enter a date</v>
      </c>
      <c r="C414" s="11"/>
      <c r="D414" s="12"/>
      <c r="E414" s="6"/>
      <c r="F414" s="13"/>
      <c r="G414" s="9"/>
      <c r="H414" s="7"/>
      <c r="I414" s="7"/>
    </row>
    <row r="415" spans="1:9" x14ac:dyDescent="0.25">
      <c r="A415" s="23" t="str">
        <f t="shared" si="12"/>
        <v>Please select an account</v>
      </c>
      <c r="B415" s="24" t="str">
        <f t="shared" si="13"/>
        <v>Please enter a date</v>
      </c>
      <c r="C415" s="11"/>
      <c r="D415" s="12"/>
      <c r="E415" s="6"/>
      <c r="F415" s="13"/>
      <c r="G415" s="9"/>
      <c r="H415" s="7"/>
      <c r="I415" s="7"/>
    </row>
    <row r="416" spans="1:9" x14ac:dyDescent="0.25">
      <c r="A416" s="23" t="str">
        <f t="shared" si="12"/>
        <v>Please select an account</v>
      </c>
      <c r="B416" s="24" t="str">
        <f t="shared" si="13"/>
        <v>Please enter a date</v>
      </c>
      <c r="C416" s="11"/>
      <c r="D416" s="12"/>
      <c r="E416" s="6"/>
      <c r="F416" s="13"/>
      <c r="G416" s="9"/>
      <c r="H416" s="7"/>
      <c r="I416" s="7"/>
    </row>
    <row r="417" spans="1:9" x14ac:dyDescent="0.25">
      <c r="A417" s="23" t="str">
        <f t="shared" si="12"/>
        <v>Please select an account</v>
      </c>
      <c r="B417" s="24" t="str">
        <f t="shared" si="13"/>
        <v>Please enter a date</v>
      </c>
      <c r="C417" s="11"/>
      <c r="D417" s="12"/>
      <c r="E417" s="6"/>
      <c r="F417" s="13"/>
      <c r="G417" s="9"/>
      <c r="H417" s="7"/>
      <c r="I417" s="7"/>
    </row>
    <row r="418" spans="1:9" x14ac:dyDescent="0.25">
      <c r="A418" s="23" t="str">
        <f t="shared" si="12"/>
        <v>Please select an account</v>
      </c>
      <c r="B418" s="24" t="str">
        <f t="shared" si="13"/>
        <v>Please enter a date</v>
      </c>
      <c r="C418" s="11"/>
      <c r="D418" s="12"/>
      <c r="E418" s="6"/>
      <c r="F418" s="13"/>
      <c r="G418" s="9"/>
      <c r="H418" s="7"/>
      <c r="I418" s="7"/>
    </row>
    <row r="419" spans="1:9" x14ac:dyDescent="0.25">
      <c r="A419" s="23" t="str">
        <f t="shared" si="12"/>
        <v>Please select an account</v>
      </c>
      <c r="B419" s="24" t="str">
        <f t="shared" si="13"/>
        <v>Please enter a date</v>
      </c>
      <c r="C419" s="11"/>
      <c r="D419" s="12"/>
      <c r="E419" s="6"/>
      <c r="F419" s="13"/>
      <c r="G419" s="9"/>
      <c r="H419" s="7"/>
      <c r="I419" s="7"/>
    </row>
    <row r="420" spans="1:9" x14ac:dyDescent="0.25">
      <c r="A420" s="23" t="str">
        <f t="shared" si="12"/>
        <v>Please select an account</v>
      </c>
      <c r="B420" s="24" t="str">
        <f t="shared" si="13"/>
        <v>Please enter a date</v>
      </c>
      <c r="C420" s="11"/>
      <c r="D420" s="12"/>
      <c r="E420" s="6"/>
      <c r="F420" s="13"/>
      <c r="G420" s="9"/>
      <c r="H420" s="7"/>
      <c r="I420" s="7"/>
    </row>
    <row r="421" spans="1:9" x14ac:dyDescent="0.25">
      <c r="A421" s="23" t="str">
        <f t="shared" si="12"/>
        <v>Please select an account</v>
      </c>
      <c r="B421" s="24" t="str">
        <f t="shared" si="13"/>
        <v>Please enter a date</v>
      </c>
      <c r="C421" s="11"/>
      <c r="D421" s="12"/>
      <c r="E421" s="6"/>
      <c r="F421" s="13"/>
      <c r="G421" s="9"/>
      <c r="H421" s="7"/>
      <c r="I421" s="7"/>
    </row>
    <row r="422" spans="1:9" x14ac:dyDescent="0.25">
      <c r="A422" s="23" t="str">
        <f t="shared" si="12"/>
        <v>Please select an account</v>
      </c>
      <c r="B422" s="24" t="str">
        <f t="shared" si="13"/>
        <v>Please enter a date</v>
      </c>
      <c r="C422" s="11"/>
      <c r="D422" s="12"/>
      <c r="E422" s="6"/>
      <c r="F422" s="13"/>
      <c r="G422" s="9"/>
      <c r="H422" s="7"/>
      <c r="I422" s="7"/>
    </row>
    <row r="423" spans="1:9" x14ac:dyDescent="0.25">
      <c r="A423" s="23" t="str">
        <f t="shared" si="12"/>
        <v>Please select an account</v>
      </c>
      <c r="B423" s="24" t="str">
        <f t="shared" si="13"/>
        <v>Please enter a date</v>
      </c>
      <c r="C423" s="11"/>
      <c r="D423" s="12"/>
      <c r="E423" s="6"/>
      <c r="F423" s="13"/>
      <c r="G423" s="9"/>
      <c r="H423" s="7"/>
      <c r="I423" s="7"/>
    </row>
    <row r="424" spans="1:9" x14ac:dyDescent="0.25">
      <c r="A424" s="23" t="str">
        <f t="shared" si="12"/>
        <v>Please select an account</v>
      </c>
      <c r="B424" s="24" t="str">
        <f t="shared" si="13"/>
        <v>Please enter a date</v>
      </c>
      <c r="C424" s="11"/>
      <c r="D424" s="12"/>
      <c r="E424" s="6"/>
      <c r="F424" s="13"/>
      <c r="G424" s="9"/>
      <c r="H424" s="7"/>
      <c r="I424" s="7"/>
    </row>
    <row r="425" spans="1:9" x14ac:dyDescent="0.25">
      <c r="A425" s="23" t="str">
        <f t="shared" si="12"/>
        <v>Please select an account</v>
      </c>
      <c r="B425" s="24" t="str">
        <f t="shared" si="13"/>
        <v>Please enter a date</v>
      </c>
      <c r="C425" s="11"/>
      <c r="D425" s="12"/>
      <c r="E425" s="6"/>
      <c r="F425" s="13"/>
      <c r="G425" s="9"/>
      <c r="H425" s="7"/>
      <c r="I425" s="7"/>
    </row>
    <row r="426" spans="1:9" x14ac:dyDescent="0.25">
      <c r="A426" s="23" t="str">
        <f t="shared" si="12"/>
        <v>Please select an account</v>
      </c>
      <c r="B426" s="24" t="str">
        <f t="shared" si="13"/>
        <v>Please enter a date</v>
      </c>
      <c r="C426" s="11"/>
      <c r="D426" s="12"/>
      <c r="E426" s="6"/>
      <c r="F426" s="13"/>
      <c r="G426" s="9"/>
      <c r="H426" s="7"/>
      <c r="I426" s="7"/>
    </row>
    <row r="427" spans="1:9" x14ac:dyDescent="0.25">
      <c r="A427" s="23" t="str">
        <f t="shared" si="12"/>
        <v>Please select an account</v>
      </c>
      <c r="B427" s="24" t="str">
        <f t="shared" si="13"/>
        <v>Please enter a date</v>
      </c>
      <c r="C427" s="11"/>
      <c r="D427" s="12"/>
      <c r="E427" s="6"/>
      <c r="F427" s="13"/>
      <c r="G427" s="9"/>
      <c r="H427" s="7"/>
      <c r="I427" s="7"/>
    </row>
    <row r="428" spans="1:9" x14ac:dyDescent="0.25">
      <c r="A428" s="23" t="str">
        <f t="shared" si="12"/>
        <v>Please select an account</v>
      </c>
      <c r="B428" s="24" t="str">
        <f t="shared" si="13"/>
        <v>Please enter a date</v>
      </c>
      <c r="C428" s="11"/>
      <c r="D428" s="12"/>
      <c r="E428" s="6"/>
      <c r="F428" s="13"/>
      <c r="G428" s="9"/>
      <c r="H428" s="7"/>
      <c r="I428" s="7"/>
    </row>
    <row r="429" spans="1:9" x14ac:dyDescent="0.25">
      <c r="A429" s="23" t="str">
        <f t="shared" si="12"/>
        <v>Please select an account</v>
      </c>
      <c r="B429" s="24" t="str">
        <f t="shared" si="13"/>
        <v>Please enter a date</v>
      </c>
      <c r="C429" s="11"/>
      <c r="D429" s="12"/>
      <c r="E429" s="6"/>
      <c r="F429" s="13"/>
      <c r="G429" s="9"/>
      <c r="H429" s="7"/>
      <c r="I429" s="7"/>
    </row>
    <row r="430" spans="1:9" x14ac:dyDescent="0.25">
      <c r="A430" s="23" t="str">
        <f t="shared" si="12"/>
        <v>Please select an account</v>
      </c>
      <c r="B430" s="24" t="str">
        <f t="shared" si="13"/>
        <v>Please enter a date</v>
      </c>
      <c r="C430" s="11"/>
      <c r="D430" s="12"/>
      <c r="E430" s="6"/>
      <c r="F430" s="13"/>
      <c r="G430" s="9"/>
      <c r="H430" s="7"/>
      <c r="I430" s="7"/>
    </row>
    <row r="431" spans="1:9" x14ac:dyDescent="0.25">
      <c r="A431" s="23" t="str">
        <f t="shared" si="12"/>
        <v>Please select an account</v>
      </c>
      <c r="B431" s="24" t="str">
        <f t="shared" si="13"/>
        <v>Please enter a date</v>
      </c>
      <c r="C431" s="11"/>
      <c r="D431" s="12"/>
      <c r="E431" s="6"/>
      <c r="F431" s="13"/>
      <c r="G431" s="9"/>
      <c r="H431" s="7"/>
      <c r="I431" s="7"/>
    </row>
    <row r="432" spans="1:9" x14ac:dyDescent="0.25">
      <c r="A432" s="23" t="str">
        <f t="shared" si="12"/>
        <v>Please select an account</v>
      </c>
      <c r="B432" s="24" t="str">
        <f t="shared" si="13"/>
        <v>Please enter a date</v>
      </c>
      <c r="C432" s="11"/>
      <c r="D432" s="12"/>
      <c r="E432" s="6"/>
      <c r="F432" s="13"/>
      <c r="G432" s="9"/>
      <c r="H432" s="7"/>
      <c r="I432" s="7"/>
    </row>
    <row r="433" spans="1:9" x14ac:dyDescent="0.25">
      <c r="A433" s="23" t="str">
        <f t="shared" si="12"/>
        <v>Please select an account</v>
      </c>
      <c r="B433" s="24" t="str">
        <f t="shared" si="13"/>
        <v>Please enter a date</v>
      </c>
      <c r="C433" s="11"/>
      <c r="D433" s="12"/>
      <c r="E433" s="6"/>
      <c r="F433" s="13"/>
      <c r="G433" s="9"/>
      <c r="H433" s="7"/>
      <c r="I433" s="7"/>
    </row>
    <row r="434" spans="1:9" x14ac:dyDescent="0.25">
      <c r="A434" s="23" t="str">
        <f t="shared" si="12"/>
        <v>Please select an account</v>
      </c>
      <c r="B434" s="24" t="str">
        <f t="shared" si="13"/>
        <v>Please enter a date</v>
      </c>
      <c r="C434" s="11"/>
      <c r="D434" s="12"/>
      <c r="E434" s="6"/>
      <c r="F434" s="13"/>
      <c r="G434" s="9"/>
      <c r="H434" s="7"/>
      <c r="I434" s="7"/>
    </row>
    <row r="435" spans="1:9" x14ac:dyDescent="0.25">
      <c r="A435" s="23" t="str">
        <f t="shared" si="12"/>
        <v>Please select an account</v>
      </c>
      <c r="B435" s="24" t="str">
        <f t="shared" si="13"/>
        <v>Please enter a date</v>
      </c>
      <c r="C435" s="11"/>
      <c r="D435" s="12"/>
      <c r="E435" s="6"/>
      <c r="F435" s="13"/>
      <c r="G435" s="9"/>
      <c r="H435" s="7"/>
      <c r="I435" s="7"/>
    </row>
    <row r="436" spans="1:9" x14ac:dyDescent="0.25">
      <c r="A436" s="23" t="str">
        <f t="shared" si="12"/>
        <v>Please select an account</v>
      </c>
      <c r="B436" s="24" t="str">
        <f t="shared" si="13"/>
        <v>Please enter a date</v>
      </c>
      <c r="C436" s="11"/>
      <c r="D436" s="12"/>
      <c r="E436" s="6"/>
      <c r="F436" s="13"/>
      <c r="G436" s="9"/>
      <c r="H436" s="7"/>
      <c r="I436" s="7"/>
    </row>
    <row r="437" spans="1:9" x14ac:dyDescent="0.25">
      <c r="A437" s="23" t="str">
        <f t="shared" si="12"/>
        <v>Please select an account</v>
      </c>
      <c r="B437" s="24" t="str">
        <f t="shared" si="13"/>
        <v>Please enter a date</v>
      </c>
      <c r="C437" s="11"/>
      <c r="D437" s="12"/>
      <c r="E437" s="6"/>
      <c r="F437" s="13"/>
      <c r="G437" s="9"/>
      <c r="H437" s="7"/>
      <c r="I437" s="7"/>
    </row>
    <row r="438" spans="1:9" x14ac:dyDescent="0.25">
      <c r="A438" s="23" t="str">
        <f t="shared" si="12"/>
        <v>Please select an account</v>
      </c>
      <c r="B438" s="24" t="str">
        <f t="shared" si="13"/>
        <v>Please enter a date</v>
      </c>
      <c r="C438" s="11"/>
      <c r="D438" s="12"/>
      <c r="E438" s="6"/>
      <c r="F438" s="13"/>
      <c r="G438" s="9"/>
      <c r="H438" s="7"/>
      <c r="I438" s="7"/>
    </row>
    <row r="439" spans="1:9" x14ac:dyDescent="0.25">
      <c r="A439" s="23" t="str">
        <f t="shared" si="12"/>
        <v>Please select an account</v>
      </c>
      <c r="B439" s="24" t="str">
        <f t="shared" si="13"/>
        <v>Please enter a date</v>
      </c>
      <c r="C439" s="11"/>
      <c r="D439" s="12"/>
      <c r="E439" s="6"/>
      <c r="F439" s="13"/>
      <c r="G439" s="9"/>
      <c r="H439" s="7"/>
      <c r="I439" s="7"/>
    </row>
    <row r="440" spans="1:9" x14ac:dyDescent="0.25">
      <c r="A440" s="23" t="str">
        <f t="shared" si="12"/>
        <v>Please select an account</v>
      </c>
      <c r="B440" s="24" t="str">
        <f t="shared" si="13"/>
        <v>Please enter a date</v>
      </c>
      <c r="C440" s="11"/>
      <c r="D440" s="12"/>
      <c r="E440" s="6"/>
      <c r="F440" s="13"/>
      <c r="G440" s="9"/>
      <c r="H440" s="7"/>
      <c r="I440" s="7"/>
    </row>
    <row r="441" spans="1:9" x14ac:dyDescent="0.25">
      <c r="A441" s="23" t="str">
        <f t="shared" si="12"/>
        <v>Please select an account</v>
      </c>
      <c r="B441" s="24" t="str">
        <f t="shared" si="13"/>
        <v>Please enter a date</v>
      </c>
      <c r="C441" s="11"/>
      <c r="D441" s="12"/>
      <c r="E441" s="6"/>
      <c r="F441" s="13"/>
      <c r="G441" s="9"/>
      <c r="H441" s="7"/>
      <c r="I441" s="7"/>
    </row>
    <row r="442" spans="1:9" x14ac:dyDescent="0.25">
      <c r="A442" s="23" t="str">
        <f t="shared" si="12"/>
        <v>Please select an account</v>
      </c>
      <c r="B442" s="24" t="str">
        <f t="shared" si="13"/>
        <v>Please enter a date</v>
      </c>
      <c r="C442" s="11"/>
      <c r="D442" s="12"/>
      <c r="E442" s="6"/>
      <c r="F442" s="13"/>
      <c r="G442" s="9"/>
      <c r="H442" s="7"/>
      <c r="I442" s="7"/>
    </row>
    <row r="443" spans="1:9" x14ac:dyDescent="0.25">
      <c r="A443" s="23" t="str">
        <f t="shared" si="12"/>
        <v>Please select an account</v>
      </c>
      <c r="B443" s="24" t="str">
        <f t="shared" si="13"/>
        <v>Please enter a date</v>
      </c>
      <c r="C443" s="11"/>
      <c r="D443" s="12"/>
      <c r="E443" s="6"/>
      <c r="F443" s="13"/>
      <c r="G443" s="9"/>
      <c r="H443" s="7"/>
      <c r="I443" s="7"/>
    </row>
    <row r="444" spans="1:9" x14ac:dyDescent="0.25">
      <c r="A444" s="23" t="str">
        <f t="shared" si="12"/>
        <v>Please select an account</v>
      </c>
      <c r="B444" s="24" t="str">
        <f t="shared" si="13"/>
        <v>Please enter a date</v>
      </c>
      <c r="C444" s="11"/>
      <c r="D444" s="12"/>
      <c r="E444" s="6"/>
      <c r="F444" s="13"/>
      <c r="G444" s="9"/>
      <c r="H444" s="7"/>
      <c r="I444" s="7"/>
    </row>
    <row r="445" spans="1:9" x14ac:dyDescent="0.25">
      <c r="A445" s="23" t="str">
        <f t="shared" si="12"/>
        <v>Please select an account</v>
      </c>
      <c r="B445" s="24" t="str">
        <f t="shared" si="13"/>
        <v>Please enter a date</v>
      </c>
      <c r="C445" s="11"/>
      <c r="D445" s="12"/>
      <c r="E445" s="6"/>
      <c r="F445" s="13"/>
      <c r="G445" s="9"/>
      <c r="H445" s="7"/>
      <c r="I445" s="7"/>
    </row>
    <row r="446" spans="1:9" x14ac:dyDescent="0.25">
      <c r="A446" s="23" t="str">
        <f t="shared" si="12"/>
        <v>Please select an account</v>
      </c>
      <c r="B446" s="24" t="str">
        <f t="shared" si="13"/>
        <v>Please enter a date</v>
      </c>
      <c r="C446" s="11"/>
      <c r="D446" s="12"/>
      <c r="E446" s="6"/>
      <c r="F446" s="13"/>
      <c r="G446" s="9"/>
      <c r="H446" s="7"/>
      <c r="I446" s="7"/>
    </row>
    <row r="447" spans="1:9" x14ac:dyDescent="0.25">
      <c r="A447" s="23" t="str">
        <f t="shared" si="12"/>
        <v>Please select an account</v>
      </c>
      <c r="B447" s="24" t="str">
        <f t="shared" si="13"/>
        <v>Please enter a date</v>
      </c>
      <c r="C447" s="11"/>
      <c r="D447" s="12"/>
      <c r="E447" s="6"/>
      <c r="F447" s="13"/>
      <c r="G447" s="9"/>
      <c r="H447" s="7"/>
      <c r="I447" s="7"/>
    </row>
    <row r="448" spans="1:9" x14ac:dyDescent="0.25">
      <c r="A448" s="23" t="str">
        <f t="shared" si="12"/>
        <v>Please select an account</v>
      </c>
      <c r="B448" s="24" t="str">
        <f t="shared" si="13"/>
        <v>Please enter a date</v>
      </c>
      <c r="C448" s="11"/>
      <c r="D448" s="12"/>
      <c r="E448" s="6"/>
      <c r="F448" s="13"/>
      <c r="G448" s="9"/>
      <c r="H448" s="7"/>
      <c r="I448" s="7"/>
    </row>
    <row r="449" spans="1:9" x14ac:dyDescent="0.25">
      <c r="A449" s="23" t="str">
        <f t="shared" si="12"/>
        <v>Please select an account</v>
      </c>
      <c r="B449" s="24" t="str">
        <f t="shared" si="13"/>
        <v>Please enter a date</v>
      </c>
      <c r="C449" s="11"/>
      <c r="D449" s="12"/>
      <c r="E449" s="6"/>
      <c r="F449" s="13"/>
      <c r="G449" s="9"/>
      <c r="H449" s="7"/>
      <c r="I449" s="7"/>
    </row>
    <row r="450" spans="1:9" x14ac:dyDescent="0.25">
      <c r="A450" s="23" t="str">
        <f t="shared" si="12"/>
        <v>Please select an account</v>
      </c>
      <c r="B450" s="24" t="str">
        <f t="shared" si="13"/>
        <v>Please enter a date</v>
      </c>
      <c r="C450" s="11"/>
      <c r="D450" s="12"/>
      <c r="E450" s="6"/>
      <c r="F450" s="13"/>
      <c r="G450" s="9"/>
      <c r="H450" s="7"/>
      <c r="I450" s="7"/>
    </row>
    <row r="451" spans="1:9" x14ac:dyDescent="0.25">
      <c r="A451" s="23" t="str">
        <f t="shared" si="12"/>
        <v>Please select an account</v>
      </c>
      <c r="B451" s="24" t="str">
        <f t="shared" si="13"/>
        <v>Please enter a date</v>
      </c>
      <c r="C451" s="11"/>
      <c r="D451" s="12"/>
      <c r="E451" s="6"/>
      <c r="F451" s="13"/>
      <c r="G451" s="9"/>
      <c r="H451" s="7"/>
      <c r="I451" s="7"/>
    </row>
    <row r="452" spans="1:9" x14ac:dyDescent="0.25">
      <c r="A452" s="23" t="str">
        <f t="shared" si="12"/>
        <v>Please select an account</v>
      </c>
      <c r="B452" s="24" t="str">
        <f t="shared" si="13"/>
        <v>Please enter a date</v>
      </c>
      <c r="C452" s="11"/>
      <c r="D452" s="12"/>
      <c r="E452" s="6"/>
      <c r="F452" s="13"/>
      <c r="G452" s="9"/>
      <c r="H452" s="7"/>
      <c r="I452" s="7"/>
    </row>
    <row r="453" spans="1:9" x14ac:dyDescent="0.25">
      <c r="A453" s="23" t="str">
        <f t="shared" si="12"/>
        <v>Please select an account</v>
      </c>
      <c r="B453" s="24" t="str">
        <f t="shared" si="13"/>
        <v>Please enter a date</v>
      </c>
      <c r="C453" s="11"/>
      <c r="D453" s="12"/>
      <c r="E453" s="6"/>
      <c r="F453" s="13"/>
      <c r="G453" s="9"/>
      <c r="H453" s="7"/>
      <c r="I453" s="7"/>
    </row>
    <row r="454" spans="1:9" x14ac:dyDescent="0.25">
      <c r="A454" s="23" t="str">
        <f t="shared" ref="A454:A505" si="14">IF($A$2=0,"Please select an account",$A$2)</f>
        <v>Please select an account</v>
      </c>
      <c r="B454" s="24" t="str">
        <f t="shared" ref="B454:B505" si="15">IF(TEXT($B$2,"YYYY-MM-DD")&lt;&gt;"1900-01-00",TEXT($B$2,"YYYY-MM-DD"),"Please enter a date")</f>
        <v>Please enter a date</v>
      </c>
      <c r="C454" s="11"/>
      <c r="D454" s="12"/>
      <c r="E454" s="6"/>
      <c r="F454" s="13"/>
      <c r="G454" s="9"/>
      <c r="H454" s="7"/>
      <c r="I454" s="7"/>
    </row>
    <row r="455" spans="1:9" x14ac:dyDescent="0.25">
      <c r="A455" s="23" t="str">
        <f t="shared" si="14"/>
        <v>Please select an account</v>
      </c>
      <c r="B455" s="24" t="str">
        <f t="shared" si="15"/>
        <v>Please enter a date</v>
      </c>
      <c r="C455" s="11"/>
      <c r="D455" s="12"/>
      <c r="E455" s="6"/>
      <c r="F455" s="13"/>
      <c r="G455" s="9"/>
      <c r="H455" s="7"/>
      <c r="I455" s="7"/>
    </row>
    <row r="456" spans="1:9" x14ac:dyDescent="0.25">
      <c r="A456" s="23" t="str">
        <f t="shared" si="14"/>
        <v>Please select an account</v>
      </c>
      <c r="B456" s="24" t="str">
        <f t="shared" si="15"/>
        <v>Please enter a date</v>
      </c>
      <c r="C456" s="11"/>
      <c r="D456" s="12"/>
      <c r="E456" s="6"/>
      <c r="F456" s="13"/>
      <c r="G456" s="9"/>
      <c r="H456" s="7"/>
      <c r="I456" s="7"/>
    </row>
    <row r="457" spans="1:9" x14ac:dyDescent="0.25">
      <c r="A457" s="23" t="str">
        <f t="shared" si="14"/>
        <v>Please select an account</v>
      </c>
      <c r="B457" s="24" t="str">
        <f t="shared" si="15"/>
        <v>Please enter a date</v>
      </c>
      <c r="C457" s="11"/>
      <c r="D457" s="12"/>
      <c r="E457" s="6"/>
      <c r="F457" s="13"/>
      <c r="G457" s="9"/>
      <c r="H457" s="7"/>
      <c r="I457" s="7"/>
    </row>
    <row r="458" spans="1:9" x14ac:dyDescent="0.25">
      <c r="A458" s="23" t="str">
        <f t="shared" si="14"/>
        <v>Please select an account</v>
      </c>
      <c r="B458" s="24" t="str">
        <f t="shared" si="15"/>
        <v>Please enter a date</v>
      </c>
      <c r="C458" s="11"/>
      <c r="D458" s="12"/>
      <c r="E458" s="6"/>
      <c r="F458" s="13"/>
      <c r="G458" s="9"/>
      <c r="H458" s="7"/>
      <c r="I458" s="7"/>
    </row>
    <row r="459" spans="1:9" x14ac:dyDescent="0.25">
      <c r="A459" s="23" t="str">
        <f t="shared" si="14"/>
        <v>Please select an account</v>
      </c>
      <c r="B459" s="24" t="str">
        <f t="shared" si="15"/>
        <v>Please enter a date</v>
      </c>
      <c r="C459" s="11"/>
      <c r="D459" s="12"/>
      <c r="E459" s="6"/>
      <c r="F459" s="13"/>
      <c r="G459" s="9"/>
      <c r="H459" s="7"/>
      <c r="I459" s="7"/>
    </row>
    <row r="460" spans="1:9" x14ac:dyDescent="0.25">
      <c r="A460" s="23" t="str">
        <f t="shared" si="14"/>
        <v>Please select an account</v>
      </c>
      <c r="B460" s="24" t="str">
        <f t="shared" si="15"/>
        <v>Please enter a date</v>
      </c>
      <c r="C460" s="11"/>
      <c r="D460" s="12"/>
      <c r="E460" s="6"/>
      <c r="F460" s="13"/>
      <c r="G460" s="9"/>
      <c r="H460" s="7"/>
      <c r="I460" s="7"/>
    </row>
    <row r="461" spans="1:9" x14ac:dyDescent="0.25">
      <c r="A461" s="23" t="str">
        <f t="shared" si="14"/>
        <v>Please select an account</v>
      </c>
      <c r="B461" s="24" t="str">
        <f t="shared" si="15"/>
        <v>Please enter a date</v>
      </c>
      <c r="C461" s="11"/>
      <c r="D461" s="12"/>
      <c r="E461" s="6"/>
      <c r="F461" s="13"/>
      <c r="G461" s="9"/>
      <c r="H461" s="7"/>
      <c r="I461" s="7"/>
    </row>
    <row r="462" spans="1:9" x14ac:dyDescent="0.25">
      <c r="A462" s="23" t="str">
        <f t="shared" si="14"/>
        <v>Please select an account</v>
      </c>
      <c r="B462" s="24" t="str">
        <f t="shared" si="15"/>
        <v>Please enter a date</v>
      </c>
      <c r="C462" s="11"/>
      <c r="D462" s="12"/>
      <c r="E462" s="6"/>
      <c r="F462" s="13"/>
      <c r="G462" s="9"/>
      <c r="H462" s="7"/>
      <c r="I462" s="7"/>
    </row>
    <row r="463" spans="1:9" x14ac:dyDescent="0.25">
      <c r="A463" s="23" t="str">
        <f t="shared" si="14"/>
        <v>Please select an account</v>
      </c>
      <c r="B463" s="24" t="str">
        <f t="shared" si="15"/>
        <v>Please enter a date</v>
      </c>
      <c r="C463" s="11"/>
      <c r="D463" s="12"/>
      <c r="E463" s="6"/>
      <c r="F463" s="13"/>
      <c r="G463" s="9"/>
      <c r="H463" s="7"/>
      <c r="I463" s="7"/>
    </row>
    <row r="464" spans="1:9" x14ac:dyDescent="0.25">
      <c r="A464" s="23" t="str">
        <f t="shared" si="14"/>
        <v>Please select an account</v>
      </c>
      <c r="B464" s="24" t="str">
        <f t="shared" si="15"/>
        <v>Please enter a date</v>
      </c>
      <c r="C464" s="11"/>
      <c r="D464" s="12"/>
      <c r="E464" s="6"/>
      <c r="F464" s="13"/>
      <c r="G464" s="9"/>
      <c r="H464" s="7"/>
      <c r="I464" s="7"/>
    </row>
    <row r="465" spans="1:9" x14ac:dyDescent="0.25">
      <c r="A465" s="23" t="str">
        <f t="shared" si="14"/>
        <v>Please select an account</v>
      </c>
      <c r="B465" s="24" t="str">
        <f t="shared" si="15"/>
        <v>Please enter a date</v>
      </c>
      <c r="C465" s="11"/>
      <c r="D465" s="12"/>
      <c r="E465" s="6"/>
      <c r="F465" s="13"/>
      <c r="G465" s="9"/>
      <c r="H465" s="7"/>
      <c r="I465" s="7"/>
    </row>
    <row r="466" spans="1:9" x14ac:dyDescent="0.25">
      <c r="A466" s="23" t="str">
        <f t="shared" si="14"/>
        <v>Please select an account</v>
      </c>
      <c r="B466" s="24" t="str">
        <f t="shared" si="15"/>
        <v>Please enter a date</v>
      </c>
      <c r="C466" s="11"/>
      <c r="D466" s="12"/>
      <c r="E466" s="6"/>
      <c r="F466" s="13"/>
      <c r="G466" s="9"/>
      <c r="H466" s="7"/>
      <c r="I466" s="7"/>
    </row>
    <row r="467" spans="1:9" x14ac:dyDescent="0.25">
      <c r="A467" s="23" t="str">
        <f t="shared" si="14"/>
        <v>Please select an account</v>
      </c>
      <c r="B467" s="24" t="str">
        <f t="shared" si="15"/>
        <v>Please enter a date</v>
      </c>
      <c r="C467" s="11"/>
      <c r="D467" s="12"/>
      <c r="E467" s="6"/>
      <c r="F467" s="13"/>
      <c r="G467" s="9"/>
      <c r="H467" s="7"/>
      <c r="I467" s="7"/>
    </row>
    <row r="468" spans="1:9" x14ac:dyDescent="0.25">
      <c r="A468" s="23" t="str">
        <f t="shared" si="14"/>
        <v>Please select an account</v>
      </c>
      <c r="B468" s="24" t="str">
        <f t="shared" si="15"/>
        <v>Please enter a date</v>
      </c>
      <c r="C468" s="11"/>
      <c r="D468" s="12"/>
      <c r="E468" s="6"/>
      <c r="F468" s="13"/>
      <c r="G468" s="9"/>
      <c r="H468" s="7"/>
      <c r="I468" s="7"/>
    </row>
    <row r="469" spans="1:9" x14ac:dyDescent="0.25">
      <c r="A469" s="23" t="str">
        <f t="shared" si="14"/>
        <v>Please select an account</v>
      </c>
      <c r="B469" s="24" t="str">
        <f t="shared" si="15"/>
        <v>Please enter a date</v>
      </c>
      <c r="C469" s="11"/>
      <c r="D469" s="12"/>
      <c r="E469" s="6"/>
      <c r="F469" s="13"/>
      <c r="G469" s="9"/>
      <c r="H469" s="7"/>
      <c r="I469" s="7"/>
    </row>
    <row r="470" spans="1:9" x14ac:dyDescent="0.25">
      <c r="A470" s="23" t="str">
        <f t="shared" si="14"/>
        <v>Please select an account</v>
      </c>
      <c r="B470" s="24" t="str">
        <f t="shared" si="15"/>
        <v>Please enter a date</v>
      </c>
      <c r="C470" s="11"/>
      <c r="D470" s="12"/>
      <c r="E470" s="6"/>
      <c r="F470" s="13"/>
      <c r="G470" s="9"/>
      <c r="H470" s="7"/>
      <c r="I470" s="7"/>
    </row>
    <row r="471" spans="1:9" x14ac:dyDescent="0.25">
      <c r="A471" s="23" t="str">
        <f t="shared" si="14"/>
        <v>Please select an account</v>
      </c>
      <c r="B471" s="24" t="str">
        <f t="shared" si="15"/>
        <v>Please enter a date</v>
      </c>
      <c r="C471" s="11"/>
      <c r="D471" s="12"/>
      <c r="E471" s="6"/>
      <c r="F471" s="13"/>
      <c r="G471" s="9"/>
      <c r="H471" s="7"/>
      <c r="I471" s="7"/>
    </row>
    <row r="472" spans="1:9" x14ac:dyDescent="0.25">
      <c r="A472" s="23" t="str">
        <f t="shared" si="14"/>
        <v>Please select an account</v>
      </c>
      <c r="B472" s="24" t="str">
        <f t="shared" si="15"/>
        <v>Please enter a date</v>
      </c>
      <c r="C472" s="11"/>
      <c r="D472" s="12"/>
      <c r="E472" s="6"/>
      <c r="F472" s="13"/>
      <c r="G472" s="9"/>
      <c r="H472" s="7"/>
      <c r="I472" s="7"/>
    </row>
    <row r="473" spans="1:9" x14ac:dyDescent="0.25">
      <c r="A473" s="23" t="str">
        <f t="shared" si="14"/>
        <v>Please select an account</v>
      </c>
      <c r="B473" s="24" t="str">
        <f t="shared" si="15"/>
        <v>Please enter a date</v>
      </c>
      <c r="C473" s="11"/>
      <c r="D473" s="12"/>
      <c r="E473" s="6"/>
      <c r="F473" s="13"/>
      <c r="G473" s="9"/>
      <c r="H473" s="7"/>
      <c r="I473" s="7"/>
    </row>
    <row r="474" spans="1:9" x14ac:dyDescent="0.25">
      <c r="A474" s="23" t="str">
        <f t="shared" si="14"/>
        <v>Please select an account</v>
      </c>
      <c r="B474" s="24" t="str">
        <f t="shared" si="15"/>
        <v>Please enter a date</v>
      </c>
      <c r="C474" s="11"/>
      <c r="D474" s="12"/>
      <c r="E474" s="6"/>
      <c r="F474" s="13"/>
      <c r="G474" s="9"/>
      <c r="H474" s="7"/>
      <c r="I474" s="7"/>
    </row>
    <row r="475" spans="1:9" x14ac:dyDescent="0.25">
      <c r="A475" s="23" t="str">
        <f t="shared" si="14"/>
        <v>Please select an account</v>
      </c>
      <c r="B475" s="24" t="str">
        <f t="shared" si="15"/>
        <v>Please enter a date</v>
      </c>
      <c r="C475" s="11"/>
      <c r="D475" s="12"/>
      <c r="E475" s="6"/>
      <c r="F475" s="13"/>
      <c r="G475" s="9"/>
      <c r="H475" s="7"/>
      <c r="I475" s="7"/>
    </row>
    <row r="476" spans="1:9" x14ac:dyDescent="0.25">
      <c r="A476" s="23" t="str">
        <f t="shared" si="14"/>
        <v>Please select an account</v>
      </c>
      <c r="B476" s="24" t="str">
        <f t="shared" si="15"/>
        <v>Please enter a date</v>
      </c>
      <c r="C476" s="11"/>
      <c r="D476" s="12"/>
      <c r="E476" s="6"/>
      <c r="F476" s="13"/>
      <c r="G476" s="9"/>
      <c r="H476" s="7"/>
      <c r="I476" s="7"/>
    </row>
    <row r="477" spans="1:9" x14ac:dyDescent="0.25">
      <c r="A477" s="23" t="str">
        <f t="shared" si="14"/>
        <v>Please select an account</v>
      </c>
      <c r="B477" s="24" t="str">
        <f t="shared" si="15"/>
        <v>Please enter a date</v>
      </c>
      <c r="C477" s="11"/>
      <c r="D477" s="12"/>
      <c r="E477" s="6"/>
      <c r="F477" s="13"/>
      <c r="G477" s="9"/>
      <c r="H477" s="7"/>
      <c r="I477" s="7"/>
    </row>
    <row r="478" spans="1:9" x14ac:dyDescent="0.25">
      <c r="A478" s="23" t="str">
        <f t="shared" si="14"/>
        <v>Please select an account</v>
      </c>
      <c r="B478" s="24" t="str">
        <f t="shared" si="15"/>
        <v>Please enter a date</v>
      </c>
      <c r="C478" s="11"/>
      <c r="D478" s="12"/>
      <c r="E478" s="6"/>
      <c r="F478" s="13"/>
      <c r="G478" s="9"/>
      <c r="H478" s="7"/>
      <c r="I478" s="7"/>
    </row>
    <row r="479" spans="1:9" x14ac:dyDescent="0.25">
      <c r="A479" s="23" t="str">
        <f t="shared" si="14"/>
        <v>Please select an account</v>
      </c>
      <c r="B479" s="24" t="str">
        <f t="shared" si="15"/>
        <v>Please enter a date</v>
      </c>
      <c r="C479" s="11"/>
      <c r="D479" s="12"/>
      <c r="E479" s="6"/>
      <c r="F479" s="13"/>
      <c r="G479" s="9"/>
      <c r="H479" s="7"/>
      <c r="I479" s="7"/>
    </row>
    <row r="480" spans="1:9" x14ac:dyDescent="0.25">
      <c r="A480" s="23" t="str">
        <f t="shared" si="14"/>
        <v>Please select an account</v>
      </c>
      <c r="B480" s="24" t="str">
        <f t="shared" si="15"/>
        <v>Please enter a date</v>
      </c>
      <c r="C480" s="11"/>
      <c r="D480" s="12"/>
      <c r="E480" s="6"/>
      <c r="F480" s="13"/>
      <c r="G480" s="9"/>
      <c r="H480" s="7"/>
      <c r="I480" s="7"/>
    </row>
    <row r="481" spans="1:9" x14ac:dyDescent="0.25">
      <c r="A481" s="23" t="str">
        <f t="shared" si="14"/>
        <v>Please select an account</v>
      </c>
      <c r="B481" s="24" t="str">
        <f t="shared" si="15"/>
        <v>Please enter a date</v>
      </c>
      <c r="C481" s="11"/>
      <c r="D481" s="12"/>
      <c r="E481" s="6"/>
      <c r="F481" s="13"/>
      <c r="G481" s="9"/>
      <c r="H481" s="7"/>
      <c r="I481" s="7"/>
    </row>
    <row r="482" spans="1:9" x14ac:dyDescent="0.25">
      <c r="A482" s="23" t="str">
        <f t="shared" si="14"/>
        <v>Please select an account</v>
      </c>
      <c r="B482" s="24" t="str">
        <f t="shared" si="15"/>
        <v>Please enter a date</v>
      </c>
      <c r="C482" s="11"/>
      <c r="D482" s="12"/>
      <c r="E482" s="6"/>
      <c r="F482" s="13"/>
      <c r="G482" s="9"/>
      <c r="H482" s="7"/>
      <c r="I482" s="7"/>
    </row>
    <row r="483" spans="1:9" x14ac:dyDescent="0.25">
      <c r="A483" s="23" t="str">
        <f t="shared" si="14"/>
        <v>Please select an account</v>
      </c>
      <c r="B483" s="24" t="str">
        <f t="shared" si="15"/>
        <v>Please enter a date</v>
      </c>
      <c r="C483" s="11"/>
      <c r="D483" s="12"/>
      <c r="E483" s="6"/>
      <c r="F483" s="13"/>
      <c r="G483" s="9"/>
      <c r="H483" s="7"/>
      <c r="I483" s="7"/>
    </row>
    <row r="484" spans="1:9" x14ac:dyDescent="0.25">
      <c r="A484" s="23" t="str">
        <f t="shared" si="14"/>
        <v>Please select an account</v>
      </c>
      <c r="B484" s="24" t="str">
        <f t="shared" si="15"/>
        <v>Please enter a date</v>
      </c>
      <c r="C484" s="11"/>
      <c r="D484" s="12"/>
      <c r="E484" s="6"/>
      <c r="F484" s="13"/>
      <c r="G484" s="9"/>
      <c r="H484" s="7"/>
      <c r="I484" s="7"/>
    </row>
    <row r="485" spans="1:9" x14ac:dyDescent="0.25">
      <c r="A485" s="23" t="str">
        <f t="shared" si="14"/>
        <v>Please select an account</v>
      </c>
      <c r="B485" s="24" t="str">
        <f t="shared" si="15"/>
        <v>Please enter a date</v>
      </c>
      <c r="C485" s="11"/>
      <c r="D485" s="12"/>
      <c r="E485" s="6"/>
      <c r="F485" s="13"/>
      <c r="G485" s="9"/>
      <c r="H485" s="7"/>
      <c r="I485" s="7"/>
    </row>
    <row r="486" spans="1:9" x14ac:dyDescent="0.25">
      <c r="A486" s="23" t="str">
        <f t="shared" si="14"/>
        <v>Please select an account</v>
      </c>
      <c r="B486" s="24" t="str">
        <f t="shared" si="15"/>
        <v>Please enter a date</v>
      </c>
      <c r="C486" s="11"/>
      <c r="D486" s="12"/>
      <c r="E486" s="6"/>
      <c r="F486" s="13"/>
      <c r="G486" s="9"/>
      <c r="H486" s="7"/>
      <c r="I486" s="7"/>
    </row>
    <row r="487" spans="1:9" x14ac:dyDescent="0.25">
      <c r="A487" s="23" t="str">
        <f t="shared" si="14"/>
        <v>Please select an account</v>
      </c>
      <c r="B487" s="24" t="str">
        <f t="shared" si="15"/>
        <v>Please enter a date</v>
      </c>
      <c r="C487" s="11"/>
      <c r="D487" s="12"/>
      <c r="E487" s="6"/>
      <c r="F487" s="13"/>
      <c r="G487" s="9"/>
      <c r="H487" s="7"/>
      <c r="I487" s="7"/>
    </row>
    <row r="488" spans="1:9" x14ac:dyDescent="0.25">
      <c r="A488" s="23" t="str">
        <f t="shared" si="14"/>
        <v>Please select an account</v>
      </c>
      <c r="B488" s="24" t="str">
        <f t="shared" si="15"/>
        <v>Please enter a date</v>
      </c>
      <c r="C488" s="11"/>
      <c r="D488" s="12"/>
      <c r="E488" s="6"/>
      <c r="F488" s="13"/>
      <c r="G488" s="9"/>
      <c r="H488" s="7"/>
      <c r="I488" s="7"/>
    </row>
    <row r="489" spans="1:9" x14ac:dyDescent="0.25">
      <c r="A489" s="23" t="str">
        <f t="shared" si="14"/>
        <v>Please select an account</v>
      </c>
      <c r="B489" s="24" t="str">
        <f t="shared" si="15"/>
        <v>Please enter a date</v>
      </c>
      <c r="C489" s="11"/>
      <c r="D489" s="12"/>
      <c r="E489" s="6"/>
      <c r="F489" s="13"/>
      <c r="G489" s="9"/>
      <c r="H489" s="7"/>
      <c r="I489" s="7"/>
    </row>
    <row r="490" spans="1:9" x14ac:dyDescent="0.25">
      <c r="A490" s="23" t="str">
        <f t="shared" si="14"/>
        <v>Please select an account</v>
      </c>
      <c r="B490" s="24" t="str">
        <f t="shared" si="15"/>
        <v>Please enter a date</v>
      </c>
      <c r="C490" s="11"/>
      <c r="D490" s="12"/>
      <c r="E490" s="6"/>
      <c r="F490" s="13"/>
      <c r="G490" s="9"/>
      <c r="H490" s="7"/>
      <c r="I490" s="7"/>
    </row>
    <row r="491" spans="1:9" x14ac:dyDescent="0.25">
      <c r="A491" s="23" t="str">
        <f t="shared" si="14"/>
        <v>Please select an account</v>
      </c>
      <c r="B491" s="24" t="str">
        <f t="shared" si="15"/>
        <v>Please enter a date</v>
      </c>
      <c r="C491" s="11"/>
      <c r="D491" s="12"/>
      <c r="E491" s="6"/>
      <c r="F491" s="13"/>
      <c r="G491" s="9"/>
      <c r="H491" s="7"/>
      <c r="I491" s="7"/>
    </row>
    <row r="492" spans="1:9" x14ac:dyDescent="0.25">
      <c r="A492" s="23" t="str">
        <f t="shared" si="14"/>
        <v>Please select an account</v>
      </c>
      <c r="B492" s="24" t="str">
        <f t="shared" si="15"/>
        <v>Please enter a date</v>
      </c>
      <c r="C492" s="11"/>
      <c r="D492" s="12"/>
      <c r="E492" s="6"/>
      <c r="F492" s="13"/>
      <c r="G492" s="9"/>
      <c r="H492" s="7"/>
      <c r="I492" s="7"/>
    </row>
    <row r="493" spans="1:9" x14ac:dyDescent="0.25">
      <c r="A493" s="23" t="str">
        <f t="shared" si="14"/>
        <v>Please select an account</v>
      </c>
      <c r="B493" s="24" t="str">
        <f t="shared" si="15"/>
        <v>Please enter a date</v>
      </c>
      <c r="C493" s="11"/>
      <c r="D493" s="12"/>
      <c r="E493" s="6"/>
      <c r="F493" s="13"/>
      <c r="G493" s="9"/>
      <c r="H493" s="7"/>
      <c r="I493" s="7"/>
    </row>
    <row r="494" spans="1:9" x14ac:dyDescent="0.25">
      <c r="A494" s="23" t="str">
        <f t="shared" si="14"/>
        <v>Please select an account</v>
      </c>
      <c r="B494" s="24" t="str">
        <f t="shared" si="15"/>
        <v>Please enter a date</v>
      </c>
      <c r="C494" s="11"/>
      <c r="D494" s="12"/>
      <c r="E494" s="6"/>
      <c r="F494" s="13"/>
      <c r="G494" s="9"/>
      <c r="H494" s="7"/>
      <c r="I494" s="7"/>
    </row>
    <row r="495" spans="1:9" x14ac:dyDescent="0.25">
      <c r="A495" s="23" t="str">
        <f t="shared" si="14"/>
        <v>Please select an account</v>
      </c>
      <c r="B495" s="24" t="str">
        <f t="shared" si="15"/>
        <v>Please enter a date</v>
      </c>
      <c r="C495" s="11"/>
      <c r="D495" s="12"/>
      <c r="E495" s="6"/>
      <c r="F495" s="13"/>
      <c r="G495" s="9"/>
      <c r="H495" s="7"/>
      <c r="I495" s="7"/>
    </row>
    <row r="496" spans="1:9" x14ac:dyDescent="0.25">
      <c r="A496" s="23" t="str">
        <f t="shared" si="14"/>
        <v>Please select an account</v>
      </c>
      <c r="B496" s="24" t="str">
        <f t="shared" si="15"/>
        <v>Please enter a date</v>
      </c>
      <c r="C496" s="11"/>
      <c r="D496" s="12"/>
      <c r="E496" s="6"/>
      <c r="F496" s="13"/>
      <c r="G496" s="9"/>
      <c r="H496" s="7"/>
      <c r="I496" s="7"/>
    </row>
    <row r="497" spans="1:9" x14ac:dyDescent="0.25">
      <c r="A497" s="23" t="str">
        <f t="shared" si="14"/>
        <v>Please select an account</v>
      </c>
      <c r="B497" s="24" t="str">
        <f t="shared" si="15"/>
        <v>Please enter a date</v>
      </c>
      <c r="C497" s="11"/>
      <c r="D497" s="12"/>
      <c r="E497" s="6"/>
      <c r="F497" s="13"/>
      <c r="G497" s="9"/>
      <c r="H497" s="7"/>
      <c r="I497" s="7"/>
    </row>
    <row r="498" spans="1:9" x14ac:dyDescent="0.25">
      <c r="A498" s="23" t="str">
        <f t="shared" si="14"/>
        <v>Please select an account</v>
      </c>
      <c r="B498" s="24" t="str">
        <f t="shared" si="15"/>
        <v>Please enter a date</v>
      </c>
      <c r="C498" s="11"/>
      <c r="D498" s="12"/>
      <c r="E498" s="6"/>
      <c r="F498" s="13"/>
      <c r="G498" s="9"/>
      <c r="H498" s="7"/>
      <c r="I498" s="7"/>
    </row>
    <row r="499" spans="1:9" x14ac:dyDescent="0.25">
      <c r="A499" s="23" t="str">
        <f t="shared" si="14"/>
        <v>Please select an account</v>
      </c>
      <c r="B499" s="24" t="str">
        <f t="shared" si="15"/>
        <v>Please enter a date</v>
      </c>
      <c r="C499" s="11"/>
      <c r="D499" s="12"/>
      <c r="E499" s="6"/>
      <c r="F499" s="13"/>
      <c r="G499" s="9"/>
      <c r="H499" s="7"/>
      <c r="I499" s="7"/>
    </row>
    <row r="500" spans="1:9" x14ac:dyDescent="0.25">
      <c r="A500" s="23" t="str">
        <f t="shared" si="14"/>
        <v>Please select an account</v>
      </c>
      <c r="B500" s="24" t="str">
        <f t="shared" si="15"/>
        <v>Please enter a date</v>
      </c>
      <c r="C500" s="11"/>
      <c r="D500" s="12"/>
      <c r="E500" s="6"/>
      <c r="F500" s="13"/>
      <c r="G500" s="9"/>
      <c r="H500" s="7"/>
      <c r="I500" s="7"/>
    </row>
    <row r="501" spans="1:9" x14ac:dyDescent="0.25">
      <c r="A501" s="23" t="str">
        <f>IF($A$2=0,"Please select an account",$A$2)</f>
        <v>Please select an account</v>
      </c>
      <c r="B501" s="24" t="str">
        <f>IF(TEXT($B$2,"YYYY-MM-DD")&lt;&gt;"1900-01-00",TEXT($B$2,"YYYY-MM-DD"),"Please enter a date")</f>
        <v>Please enter a date</v>
      </c>
      <c r="C501" s="11"/>
      <c r="D501" s="6"/>
      <c r="E501" s="6"/>
      <c r="F501" s="13"/>
      <c r="G501" s="9"/>
      <c r="H501" s="7"/>
      <c r="I501" s="7"/>
    </row>
    <row r="502" spans="1:9" x14ac:dyDescent="0.25">
      <c r="A502" s="23" t="str">
        <f>IF($A$2=0,"Please select an account",$A$2)</f>
        <v>Please select an account</v>
      </c>
      <c r="B502" s="24" t="str">
        <f>IF(TEXT($B$2,"YYYY-MM-DD")&lt;&gt;"1900-01-00",TEXT($B$2,"YYYY-MM-DD"),"Please enter a date")</f>
        <v>Please enter a date</v>
      </c>
      <c r="C502" s="11"/>
      <c r="D502" s="6"/>
      <c r="E502" s="6"/>
      <c r="F502" s="13"/>
      <c r="G502" s="9"/>
      <c r="H502" s="7"/>
      <c r="I502" s="7"/>
    </row>
    <row r="503" spans="1:9" x14ac:dyDescent="0.25">
      <c r="A503" s="23" t="str">
        <f>IF($A$2=0,"Please select an account",$A$2)</f>
        <v>Please select an account</v>
      </c>
      <c r="B503" s="24" t="str">
        <f>IF(TEXT($B$2,"YYYY-MM-DD")&lt;&gt;"1900-01-00",TEXT($B$2,"YYYY-MM-DD"),"Please enter a date")</f>
        <v>Please enter a date</v>
      </c>
      <c r="C503" s="11"/>
      <c r="D503" s="6"/>
      <c r="E503" s="6"/>
      <c r="F503" s="13"/>
      <c r="G503" s="9"/>
      <c r="H503" s="7"/>
      <c r="I503" s="7"/>
    </row>
    <row r="504" spans="1:9" x14ac:dyDescent="0.25">
      <c r="A504" s="23" t="str">
        <f t="shared" si="14"/>
        <v>Please select an account</v>
      </c>
      <c r="B504" s="24" t="str">
        <f t="shared" si="15"/>
        <v>Please enter a date</v>
      </c>
      <c r="C504" s="11"/>
      <c r="D504" s="12"/>
      <c r="E504" s="6"/>
      <c r="F504" s="13"/>
      <c r="G504" s="9"/>
      <c r="H504" s="7"/>
      <c r="I504" s="7"/>
    </row>
    <row r="505" spans="1:9" ht="15.75" thickBot="1" x14ac:dyDescent="0.3">
      <c r="A505" s="25" t="str">
        <f t="shared" si="14"/>
        <v>Please select an account</v>
      </c>
      <c r="B505" s="26" t="str">
        <f t="shared" si="15"/>
        <v>Please enter a date</v>
      </c>
      <c r="C505" s="11"/>
      <c r="D505" s="12"/>
      <c r="E505" s="6"/>
      <c r="F505" s="13"/>
      <c r="G505" s="9"/>
      <c r="H505" s="7"/>
      <c r="I505" s="7"/>
    </row>
  </sheetData>
  <phoneticPr fontId="5" type="noConversion"/>
  <conditionalFormatting sqref="K2:L2">
    <cfRule type="cellIs" dxfId="4" priority="2" operator="notEqual">
      <formula>0</formula>
    </cfRule>
  </conditionalFormatting>
  <conditionalFormatting sqref="U6:Y1048576">
    <cfRule type="notContainsBlanks" dxfId="3" priority="5">
      <formula>LEN(TRIM(U6))&gt;0</formula>
    </cfRule>
  </conditionalFormatting>
  <dataValidations xWindow="1880" yWindow="385" count="12">
    <dataValidation type="date" allowBlank="1" showInputMessage="1" showErrorMessage="1" promptTitle="Statement Date" prompt="The date the statement was issued." sqref="B2" xr:uid="{4980D556-7963-45A3-A49D-A90D64845D0C}">
      <formula1>43831</formula1>
      <formula2>55153</formula2>
    </dataValidation>
    <dataValidation type="list" allowBlank="1" showInputMessage="1" showErrorMessage="1" promptTitle="Account" prompt="The account that the statement is for." sqref="A2" xr:uid="{3476413F-A4A0-473F-A5A8-97E138E28CA3}">
      <formula1>ACCOUNT_DROPDOWN</formula1>
    </dataValidation>
    <dataValidation type="list" allowBlank="1" showInputMessage="1" showErrorMessage="1" sqref="I6:I505" xr:uid="{9F1BCC11-B179-48FF-9CFC-C2C0731F99C7}">
      <formula1>METHOD_DROPDOWN</formula1>
    </dataValidation>
    <dataValidation type="date" operator="lessThanOrEqual" allowBlank="1" showInputMessage="1" showErrorMessage="1" errorTitle="Invalid Period Start Date" error="The entered Period Start Date is greater than the currently entered Period End Date._x000a__x000a_Period Start Date &gt; Period End Date" promptTitle="Period Start Date" prompt="The beginning of the Statement Period" sqref="D2" xr:uid="{87F4C3A6-DB8A-4212-86C3-1CE9F7A09A47}">
      <formula1>PERIOD_END_DATE</formula1>
    </dataValidation>
    <dataValidation type="date" operator="lessThanOrEqual" allowBlank="1" showInputMessage="1" showErrorMessage="1" errorTitle="Invalid Period End Date" error="The entered Period End Date is greater than the currently entered Statement Date._x000a__x000a_Statement Date &lt; Period End Date" promptTitle="Period End Date" prompt="The end of the Statement Period" sqref="E2" xr:uid="{7EA55FC8-40E1-4AED-BC0D-FBABC9546C4F}">
      <formula1>STATEMENT_DATE</formula1>
    </dataValidation>
    <dataValidation allowBlank="1" showInputMessage="1" showErrorMessage="1" promptTitle="PDF Path" prompt="The path to the Statement PDF" sqref="C2" xr:uid="{34E21E8C-6FB4-4460-AEFE-F5EA22405772}"/>
    <dataValidation allowBlank="1" showInputMessage="1" showErrorMessage="1" promptTitle="Period Start Balance" prompt="DONT FORGET!_x000a__x000a_Until credit and debit accounts are implemented, debit accounts need to be entered with a negative balance to show credits." sqref="F2" xr:uid="{2BCBF1EE-EF5B-44F1-8E8B-BCCB58C6B133}"/>
    <dataValidation allowBlank="1" showInputMessage="1" showErrorMessage="1" promptTitle="Period End Balance" prompt="DONT FORGET!_x000a__x000a_Until credit and debit accounts are implemented, debit accounts need to be entered with a negative balance to show credits." sqref="G2" xr:uid="{8F9C99CA-6697-4407-B740-5DF0D2FDB0FA}"/>
    <dataValidation type="decimal" allowBlank="1" showInputMessage="1" showErrorMessage="1" errorTitle="NaN" error="Not a number" promptTitle="AMOUNT" prompt="The amount of the transaction" sqref="G6:G505" xr:uid="{73DF6761-D956-4EFB-8425-959584651379}">
      <formula1>-999999999999</formula1>
      <formula2>999999999999</formula2>
    </dataValidation>
    <dataValidation type="list" allowBlank="1" showInputMessage="1" showErrorMessage="1" promptTitle="PAYEE" prompt="The entity from to which the transaction is directed at._x000a__x000a_EX. If I am getting money from another person, the transaction is directed at that person." sqref="H6:H505" xr:uid="{313692CC-E528-4CA5-A180-5E24B961EB94}">
      <formula1>PAYEE_DROPDOWN</formula1>
    </dataValidation>
    <dataValidation type="date" operator="lessThanOrEqual" allowBlank="1" showInputMessage="1" showErrorMessage="1" promptTitle="TRANSACTION DATE" prompt="The date of which the transacton occured ACCORDING TO THE STATEMENT" sqref="C6:C505" xr:uid="{75B2F111-8965-4367-9792-E2D42E6FF7D1}">
      <formula1>STATEMENT_DATE</formula1>
    </dataValidation>
    <dataValidation type="date" operator="greaterThanOrEqual" allowBlank="1" showInputMessage="1" showErrorMessage="1" promptTitle="POST_DATE" prompt="The date of which the transacton occured ACCORDING TO THE STATEMENT" sqref="D6:D505" xr:uid="{1600ECC6-B410-410D-AE1B-01AD1EE66B63}">
      <formula1>C6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46A8-2794-4A46-BC4E-71A2D790A184}">
  <sheetPr>
    <tabColor theme="1"/>
  </sheetPr>
  <dimension ref="A1:C1"/>
  <sheetViews>
    <sheetView workbookViewId="0">
      <selection sqref="A1:C2"/>
    </sheetView>
  </sheetViews>
  <sheetFormatPr defaultRowHeight="15" x14ac:dyDescent="0.25"/>
  <cols>
    <col min="1" max="1" width="8.5703125" bestFit="1" customWidth="1"/>
    <col min="2" max="3" width="7.28515625" bestFit="1" customWidth="1"/>
    <col min="4" max="4" width="11.140625" bestFit="1" customWidth="1"/>
    <col min="5" max="5" width="8.85546875" customWidth="1"/>
    <col min="6" max="6" width="16.5703125" customWidth="1"/>
    <col min="7" max="7" width="7.28515625" bestFit="1" customWidth="1"/>
  </cols>
  <sheetData>
    <row r="1" spans="1:3" x14ac:dyDescent="0.25">
      <c r="A1" t="s">
        <v>13</v>
      </c>
      <c r="B1" t="s">
        <v>14</v>
      </c>
      <c r="C1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0582-E06E-4AFA-98CE-4F98EB567E23}">
  <sheetPr>
    <tabColor theme="8"/>
  </sheetPr>
  <dimension ref="A1:R2"/>
  <sheetViews>
    <sheetView workbookViewId="0">
      <selection activeCell="A2" sqref="A2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16.85546875" bestFit="1" customWidth="1"/>
    <col min="4" max="4" width="11.5703125" bestFit="1" customWidth="1"/>
    <col min="5" max="5" width="10.7109375" bestFit="1" customWidth="1"/>
    <col min="6" max="6" width="14.28515625" bestFit="1" customWidth="1"/>
    <col min="7" max="7" width="13.42578125" bestFit="1" customWidth="1"/>
    <col min="8" max="8" width="20" bestFit="1" customWidth="1"/>
    <col min="9" max="9" width="18.5703125" bestFit="1" customWidth="1"/>
    <col min="10" max="10" width="12.140625" bestFit="1" customWidth="1"/>
    <col min="11" max="11" width="10.42578125" bestFit="1" customWidth="1"/>
    <col min="12" max="12" width="11.42578125" bestFit="1" customWidth="1"/>
    <col min="13" max="13" width="17.7109375" bestFit="1" customWidth="1"/>
    <col min="14" max="14" width="11.28515625" bestFit="1" customWidth="1"/>
    <col min="15" max="15" width="20" bestFit="1" customWidth="1"/>
    <col min="16" max="16" width="10.42578125" bestFit="1" customWidth="1"/>
    <col min="17" max="17" width="13.42578125" customWidth="1"/>
    <col min="18" max="18" width="24.28515625" bestFit="1" customWidth="1"/>
  </cols>
  <sheetData>
    <row r="1" spans="1:18" x14ac:dyDescent="0.25">
      <c r="A1" t="s">
        <v>38</v>
      </c>
      <c r="B1" t="s">
        <v>55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56</v>
      </c>
      <c r="I1" t="s">
        <v>57</v>
      </c>
      <c r="J1" t="s">
        <v>39</v>
      </c>
      <c r="K1" t="s">
        <v>40</v>
      </c>
      <c r="L1" t="s">
        <v>58</v>
      </c>
      <c r="M1" t="s">
        <v>41</v>
      </c>
      <c r="N1" t="s">
        <v>42</v>
      </c>
      <c r="O1" t="s">
        <v>43</v>
      </c>
      <c r="P1" t="s">
        <v>45</v>
      </c>
      <c r="Q1" t="s">
        <v>44</v>
      </c>
      <c r="R1" t="s">
        <v>59</v>
      </c>
    </row>
    <row r="2" spans="1:18" x14ac:dyDescent="0.25">
      <c r="C2" s="40"/>
      <c r="D2" s="14"/>
      <c r="E2" s="1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85AA-42DE-43D3-9310-9BB6D1E9FF61}">
  <dimension ref="A1:W496"/>
  <sheetViews>
    <sheetView workbookViewId="0">
      <selection activeCell="A2" sqref="A2"/>
    </sheetView>
  </sheetViews>
  <sheetFormatPr defaultRowHeight="15" x14ac:dyDescent="0.25"/>
  <cols>
    <col min="1" max="1" width="49.140625" bestFit="1" customWidth="1"/>
    <col min="2" max="2" width="39.7109375" bestFit="1" customWidth="1"/>
    <col min="4" max="4" width="49.140625" bestFit="1" customWidth="1"/>
    <col min="5" max="5" width="32" bestFit="1" customWidth="1"/>
    <col min="6" max="6" width="39.7109375" bestFit="1" customWidth="1"/>
    <col min="7" max="7" width="40.28515625" bestFit="1" customWidth="1"/>
    <col min="8" max="8" width="32" customWidth="1"/>
    <col min="10" max="10" width="49.140625" bestFit="1" customWidth="1"/>
    <col min="11" max="11" width="40.5703125" bestFit="1" customWidth="1"/>
    <col min="12" max="12" width="63.5703125" customWidth="1"/>
    <col min="13" max="13" width="39" bestFit="1" customWidth="1"/>
    <col min="14" max="14" width="32" bestFit="1" customWidth="1"/>
    <col min="15" max="15" width="63.5703125" bestFit="1" customWidth="1"/>
    <col min="16" max="16" width="39" bestFit="1" customWidth="1"/>
    <col min="17" max="17" width="18.7109375" bestFit="1" customWidth="1"/>
    <col min="18" max="18" width="49.28515625" bestFit="1" customWidth="1"/>
    <col min="19" max="19" width="16.85546875" bestFit="1" customWidth="1"/>
    <col min="20" max="20" width="15" bestFit="1" customWidth="1"/>
    <col min="21" max="21" width="16" bestFit="1" customWidth="1"/>
    <col min="22" max="22" width="14.28515625" bestFit="1" customWidth="1"/>
    <col min="23" max="23" width="13.42578125" bestFit="1" customWidth="1"/>
    <col min="25" max="25" width="39.140625" bestFit="1" customWidth="1"/>
    <col min="26" max="26" width="17.5703125" bestFit="1" customWidth="1"/>
    <col min="27" max="27" width="15" bestFit="1" customWidth="1"/>
    <col min="28" max="28" width="16" bestFit="1" customWidth="1"/>
    <col min="29" max="29" width="22.28515625" bestFit="1" customWidth="1"/>
    <col min="30" max="30" width="21.7109375" bestFit="1" customWidth="1"/>
  </cols>
  <sheetData>
    <row r="1" spans="1:23" x14ac:dyDescent="0.25">
      <c r="A1" t="s">
        <v>22</v>
      </c>
      <c r="B1" t="s">
        <v>38</v>
      </c>
      <c r="D1" t="s">
        <v>22</v>
      </c>
      <c r="E1" t="s">
        <v>30</v>
      </c>
      <c r="F1" t="s">
        <v>38</v>
      </c>
      <c r="G1" t="s">
        <v>39</v>
      </c>
      <c r="J1" t="s">
        <v>31</v>
      </c>
      <c r="K1" t="s">
        <v>40</v>
      </c>
      <c r="N1" t="s">
        <v>3</v>
      </c>
      <c r="O1" t="s">
        <v>2</v>
      </c>
      <c r="P1" t="s">
        <v>4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5">
      <c r="A2" t="s">
        <v>64</v>
      </c>
      <c r="B2" t="s">
        <v>66</v>
      </c>
      <c r="D2" t="s">
        <v>64</v>
      </c>
      <c r="E2" t="s">
        <v>65</v>
      </c>
      <c r="F2" t="s">
        <v>66</v>
      </c>
      <c r="G2" t="s">
        <v>67</v>
      </c>
      <c r="J2" t="s">
        <v>158</v>
      </c>
      <c r="K2" t="s">
        <v>159</v>
      </c>
      <c r="N2" t="str" cm="1">
        <f t="array" ref="N2">_xlfn._xlws.FILTER(METHODS[Method],METHODS[Account]=SELECTED_ACCOUNT, "Please select an account")</f>
        <v>Please select an account</v>
      </c>
      <c r="O2" t="str" cm="1">
        <f t="array" ref="O2:O14">ACCOUNTS[Account]</f>
        <v>CITI - CREDIT CARD - 4100 3902 6443 9361</v>
      </c>
      <c r="P2" t="str" cm="1">
        <f t="array" ref="P2">IF(SELECTED_ACCOUNT = "", "Please select an account", _xlfn._xlws.FILTER(PAYEES[PayeeName],PAYEES[PayeeName]&lt;&gt;SELECTED_ACCOUNT))</f>
        <v>Please select an account</v>
      </c>
      <c r="R2" t="s">
        <v>64</v>
      </c>
      <c r="S2" s="14">
        <v>46156</v>
      </c>
      <c r="T2" s="14">
        <v>46127</v>
      </c>
      <c r="U2" s="14">
        <v>46156.999988425923</v>
      </c>
      <c r="V2">
        <v>210.62</v>
      </c>
      <c r="W2">
        <v>99.34</v>
      </c>
    </row>
    <row r="3" spans="1:23" x14ac:dyDescent="0.25">
      <c r="A3" t="s">
        <v>72</v>
      </c>
      <c r="B3" t="s">
        <v>74</v>
      </c>
      <c r="D3" t="s">
        <v>64</v>
      </c>
      <c r="E3" t="s">
        <v>68</v>
      </c>
      <c r="F3" t="s">
        <v>66</v>
      </c>
      <c r="G3" t="s">
        <v>69</v>
      </c>
      <c r="J3" t="s">
        <v>160</v>
      </c>
      <c r="K3" t="s">
        <v>161</v>
      </c>
      <c r="O3" t="str">
        <v>PAYPAL - NOAHHARRIS9811@GMAIL.COM</v>
      </c>
      <c r="R3" t="s">
        <v>64</v>
      </c>
      <c r="S3" s="14">
        <v>46126</v>
      </c>
      <c r="T3" s="14">
        <v>46095</v>
      </c>
      <c r="U3" s="14">
        <v>46126.999988425923</v>
      </c>
      <c r="V3">
        <v>1118.99</v>
      </c>
      <c r="W3">
        <v>210.62</v>
      </c>
    </row>
    <row r="4" spans="1:23" x14ac:dyDescent="0.25">
      <c r="A4" t="s">
        <v>80</v>
      </c>
      <c r="B4" t="s">
        <v>82</v>
      </c>
      <c r="D4" t="s">
        <v>64</v>
      </c>
      <c r="E4" t="s">
        <v>70</v>
      </c>
      <c r="F4" t="s">
        <v>66</v>
      </c>
      <c r="G4" t="s">
        <v>71</v>
      </c>
      <c r="J4" t="s">
        <v>162</v>
      </c>
      <c r="K4" t="s">
        <v>163</v>
      </c>
      <c r="O4" t="str">
        <v>SECU - CHECKING - 44153121</v>
      </c>
      <c r="R4" t="s">
        <v>64</v>
      </c>
      <c r="S4" s="14">
        <v>46094</v>
      </c>
      <c r="T4" s="14">
        <v>46067</v>
      </c>
      <c r="U4" s="14">
        <v>46094.999988425923</v>
      </c>
      <c r="V4">
        <v>873.57</v>
      </c>
      <c r="W4">
        <v>1118.99</v>
      </c>
    </row>
    <row r="5" spans="1:23" x14ac:dyDescent="0.25">
      <c r="A5" t="s">
        <v>96</v>
      </c>
      <c r="B5" t="s">
        <v>97</v>
      </c>
      <c r="D5" t="s">
        <v>72</v>
      </c>
      <c r="E5" t="s">
        <v>73</v>
      </c>
      <c r="F5" t="s">
        <v>74</v>
      </c>
      <c r="G5" t="s">
        <v>75</v>
      </c>
      <c r="J5" t="s">
        <v>164</v>
      </c>
      <c r="K5" t="s">
        <v>165</v>
      </c>
      <c r="O5" t="str">
        <v>SECU - CREDIT CARD - 4046 5711 5092 0401</v>
      </c>
      <c r="R5" t="s">
        <v>64</v>
      </c>
      <c r="S5" s="14">
        <v>46066</v>
      </c>
      <c r="T5" s="14">
        <v>46037</v>
      </c>
      <c r="U5" s="14">
        <v>46066.999988425923</v>
      </c>
      <c r="V5">
        <v>683.92</v>
      </c>
      <c r="W5">
        <v>873.57</v>
      </c>
    </row>
    <row r="6" spans="1:23" x14ac:dyDescent="0.25">
      <c r="A6" t="s">
        <v>102</v>
      </c>
      <c r="B6" t="s">
        <v>103</v>
      </c>
      <c r="D6" t="s">
        <v>72</v>
      </c>
      <c r="E6" t="s">
        <v>76</v>
      </c>
      <c r="F6" t="s">
        <v>74</v>
      </c>
      <c r="G6" t="s">
        <v>77</v>
      </c>
      <c r="J6" t="s">
        <v>166</v>
      </c>
      <c r="K6" t="s">
        <v>167</v>
      </c>
      <c r="O6" t="str">
        <v>SECU - SAVINGS - 60559787</v>
      </c>
      <c r="R6" t="s">
        <v>64</v>
      </c>
      <c r="S6" s="14">
        <v>46036</v>
      </c>
      <c r="T6" s="14">
        <v>46004</v>
      </c>
      <c r="U6" s="14">
        <v>46036.999988425923</v>
      </c>
      <c r="V6">
        <v>0</v>
      </c>
      <c r="W6">
        <v>683.92</v>
      </c>
    </row>
    <row r="7" spans="1:23" x14ac:dyDescent="0.25">
      <c r="A7" t="s">
        <v>109</v>
      </c>
      <c r="B7" t="s">
        <v>111</v>
      </c>
      <c r="D7" t="s">
        <v>72</v>
      </c>
      <c r="E7" t="s">
        <v>78</v>
      </c>
      <c r="F7" t="s">
        <v>74</v>
      </c>
      <c r="G7" t="s">
        <v>79</v>
      </c>
      <c r="J7" t="s">
        <v>168</v>
      </c>
      <c r="K7" t="s">
        <v>169</v>
      </c>
      <c r="O7" t="str">
        <v>USA - WALLET - CLAIREWALLET1</v>
      </c>
      <c r="R7" t="s">
        <v>64</v>
      </c>
      <c r="S7" s="14">
        <v>46003</v>
      </c>
      <c r="T7" s="14">
        <v>45976</v>
      </c>
      <c r="U7" s="14">
        <v>46003.999988425923</v>
      </c>
      <c r="V7">
        <v>1132.8900000000001</v>
      </c>
      <c r="W7">
        <v>0</v>
      </c>
    </row>
    <row r="8" spans="1:23" x14ac:dyDescent="0.25">
      <c r="A8" t="s">
        <v>113</v>
      </c>
      <c r="B8" t="s">
        <v>114</v>
      </c>
      <c r="D8" t="s">
        <v>80</v>
      </c>
      <c r="E8" t="s">
        <v>81</v>
      </c>
      <c r="F8" t="s">
        <v>82</v>
      </c>
      <c r="G8" t="s">
        <v>83</v>
      </c>
      <c r="J8" t="s">
        <v>170</v>
      </c>
      <c r="K8" t="s">
        <v>171</v>
      </c>
      <c r="O8" t="str">
        <v>USA - WALLET - NOAHWALLET1</v>
      </c>
      <c r="R8" t="s">
        <v>64</v>
      </c>
      <c r="S8" s="14">
        <v>45975</v>
      </c>
      <c r="T8" s="14">
        <v>45945</v>
      </c>
      <c r="U8" s="14">
        <v>45975.999988425923</v>
      </c>
      <c r="V8">
        <v>481.28</v>
      </c>
      <c r="W8">
        <v>1132.8900000000001</v>
      </c>
    </row>
    <row r="9" spans="1:23" x14ac:dyDescent="0.25">
      <c r="A9" t="s">
        <v>116</v>
      </c>
      <c r="B9" t="s">
        <v>117</v>
      </c>
      <c r="D9" t="s">
        <v>80</v>
      </c>
      <c r="E9" t="s">
        <v>84</v>
      </c>
      <c r="F9" t="s">
        <v>82</v>
      </c>
      <c r="G9" t="s">
        <v>85</v>
      </c>
      <c r="J9" t="s">
        <v>172</v>
      </c>
      <c r="K9" t="s">
        <v>173</v>
      </c>
      <c r="O9" t="str">
        <v>VENMO - @CCMILLER123</v>
      </c>
      <c r="R9" t="s">
        <v>64</v>
      </c>
      <c r="S9" s="14">
        <v>45944</v>
      </c>
      <c r="T9" s="14">
        <v>45913</v>
      </c>
      <c r="U9" s="14">
        <v>45944.999988425923</v>
      </c>
      <c r="V9">
        <v>260.67</v>
      </c>
      <c r="W9">
        <v>481.28</v>
      </c>
    </row>
    <row r="10" spans="1:23" x14ac:dyDescent="0.25">
      <c r="A10" t="s">
        <v>122</v>
      </c>
      <c r="B10" t="s">
        <v>123</v>
      </c>
      <c r="D10" t="s">
        <v>80</v>
      </c>
      <c r="E10" t="s">
        <v>86</v>
      </c>
      <c r="F10" t="s">
        <v>82</v>
      </c>
      <c r="G10" t="s">
        <v>87</v>
      </c>
      <c r="J10" t="s">
        <v>174</v>
      </c>
      <c r="K10" t="s">
        <v>175</v>
      </c>
      <c r="O10" t="str">
        <v>VENMO - @NOAH_HARRIS01</v>
      </c>
      <c r="R10" t="s">
        <v>64</v>
      </c>
      <c r="S10" s="14">
        <v>45912</v>
      </c>
      <c r="T10" s="14">
        <v>45884</v>
      </c>
      <c r="U10" s="14">
        <v>45912.999988425923</v>
      </c>
      <c r="V10">
        <v>0</v>
      </c>
      <c r="W10">
        <v>260.67</v>
      </c>
    </row>
    <row r="11" spans="1:23" x14ac:dyDescent="0.25">
      <c r="A11" t="s">
        <v>127</v>
      </c>
      <c r="B11" t="s">
        <v>128</v>
      </c>
      <c r="D11" t="s">
        <v>80</v>
      </c>
      <c r="E11" t="s">
        <v>88</v>
      </c>
      <c r="F11" t="s">
        <v>82</v>
      </c>
      <c r="G11" t="s">
        <v>89</v>
      </c>
      <c r="J11" t="s">
        <v>176</v>
      </c>
      <c r="K11" t="s">
        <v>177</v>
      </c>
      <c r="O11" t="str">
        <v>WELLS FARGO - CHECKING - 8809559209</v>
      </c>
      <c r="R11" t="s">
        <v>72</v>
      </c>
      <c r="S11" s="14">
        <v>46081</v>
      </c>
      <c r="T11" s="14">
        <v>46054</v>
      </c>
      <c r="U11" s="14">
        <v>46081.999988425923</v>
      </c>
      <c r="V11">
        <v>0</v>
      </c>
      <c r="W11">
        <v>0</v>
      </c>
    </row>
    <row r="12" spans="1:23" x14ac:dyDescent="0.25">
      <c r="A12" t="s">
        <v>139</v>
      </c>
      <c r="B12" t="s">
        <v>140</v>
      </c>
      <c r="D12" t="s">
        <v>80</v>
      </c>
      <c r="E12" t="s">
        <v>90</v>
      </c>
      <c r="F12" t="s">
        <v>82</v>
      </c>
      <c r="G12" t="s">
        <v>91</v>
      </c>
      <c r="J12" t="s">
        <v>178</v>
      </c>
      <c r="K12" t="s">
        <v>179</v>
      </c>
      <c r="O12" t="str">
        <v>WELLS FARGO - CREDIT CARD - 4147 1816 1834 6534</v>
      </c>
      <c r="R12" t="s">
        <v>72</v>
      </c>
      <c r="S12" s="14">
        <v>46053</v>
      </c>
      <c r="T12" s="14">
        <v>46023</v>
      </c>
      <c r="U12" s="14">
        <v>46053.999988425923</v>
      </c>
      <c r="V12">
        <v>0</v>
      </c>
      <c r="W12">
        <v>0</v>
      </c>
    </row>
    <row r="13" spans="1:23" x14ac:dyDescent="0.25">
      <c r="A13" t="s">
        <v>145</v>
      </c>
      <c r="B13" t="s">
        <v>147</v>
      </c>
      <c r="D13" t="s">
        <v>80</v>
      </c>
      <c r="E13" t="s">
        <v>92</v>
      </c>
      <c r="F13" t="s">
        <v>82</v>
      </c>
      <c r="G13" t="s">
        <v>93</v>
      </c>
      <c r="J13" t="s">
        <v>180</v>
      </c>
      <c r="K13" t="s">
        <v>181</v>
      </c>
      <c r="O13" t="str">
        <v>WELLS FARGO - CREDIT CARD REWARDS - 60022716268</v>
      </c>
      <c r="R13" t="s">
        <v>72</v>
      </c>
      <c r="S13" s="14">
        <v>46022</v>
      </c>
      <c r="T13" s="14">
        <v>45992</v>
      </c>
      <c r="U13" s="14">
        <v>46022.999988425923</v>
      </c>
      <c r="V13">
        <v>0</v>
      </c>
      <c r="W13">
        <v>0</v>
      </c>
    </row>
    <row r="14" spans="1:23" x14ac:dyDescent="0.25">
      <c r="A14" t="s">
        <v>151</v>
      </c>
      <c r="B14" t="s">
        <v>152</v>
      </c>
      <c r="D14" t="s">
        <v>80</v>
      </c>
      <c r="E14" t="s">
        <v>94</v>
      </c>
      <c r="F14" t="s">
        <v>82</v>
      </c>
      <c r="G14" t="s">
        <v>95</v>
      </c>
      <c r="J14" t="s">
        <v>182</v>
      </c>
      <c r="K14" t="s">
        <v>183</v>
      </c>
      <c r="O14" t="str">
        <v>WELLS FARGO - SAVINGS - 1810566578</v>
      </c>
      <c r="R14" t="s">
        <v>72</v>
      </c>
      <c r="S14" s="14">
        <v>45991</v>
      </c>
      <c r="T14" s="14">
        <v>45962</v>
      </c>
      <c r="U14" s="14">
        <v>45991.999988425923</v>
      </c>
      <c r="V14">
        <v>0</v>
      </c>
      <c r="W14">
        <v>0</v>
      </c>
    </row>
    <row r="15" spans="1:23" x14ac:dyDescent="0.25">
      <c r="D15" t="s">
        <v>96</v>
      </c>
      <c r="E15" t="s">
        <v>65</v>
      </c>
      <c r="F15" t="s">
        <v>97</v>
      </c>
      <c r="G15" t="s">
        <v>98</v>
      </c>
      <c r="J15" t="s">
        <v>184</v>
      </c>
      <c r="K15" t="s">
        <v>185</v>
      </c>
      <c r="R15" t="s">
        <v>72</v>
      </c>
      <c r="S15" s="14">
        <v>45961</v>
      </c>
      <c r="T15" s="14">
        <v>45931</v>
      </c>
      <c r="U15" s="14">
        <v>45961.999988425923</v>
      </c>
      <c r="V15">
        <v>0</v>
      </c>
      <c r="W15">
        <v>0</v>
      </c>
    </row>
    <row r="16" spans="1:23" x14ac:dyDescent="0.25">
      <c r="D16" t="s">
        <v>96</v>
      </c>
      <c r="E16" t="s">
        <v>68</v>
      </c>
      <c r="F16" t="s">
        <v>97</v>
      </c>
      <c r="G16" t="s">
        <v>99</v>
      </c>
      <c r="J16" t="s">
        <v>186</v>
      </c>
      <c r="K16" t="s">
        <v>187</v>
      </c>
      <c r="R16" t="s">
        <v>72</v>
      </c>
      <c r="S16" s="14">
        <v>45930</v>
      </c>
      <c r="T16" s="14">
        <v>45901</v>
      </c>
      <c r="U16" s="14">
        <v>45930.999988425923</v>
      </c>
      <c r="V16">
        <v>0</v>
      </c>
      <c r="W16">
        <v>0</v>
      </c>
    </row>
    <row r="17" spans="4:23" x14ac:dyDescent="0.25">
      <c r="D17" t="s">
        <v>96</v>
      </c>
      <c r="E17" t="s">
        <v>100</v>
      </c>
      <c r="F17" t="s">
        <v>97</v>
      </c>
      <c r="G17" t="s">
        <v>101</v>
      </c>
      <c r="J17" t="s">
        <v>188</v>
      </c>
      <c r="K17" t="s">
        <v>189</v>
      </c>
      <c r="R17" t="s">
        <v>72</v>
      </c>
      <c r="S17" s="14">
        <v>45900</v>
      </c>
      <c r="T17" s="14">
        <v>45870</v>
      </c>
      <c r="U17" s="14">
        <v>45900.999988425923</v>
      </c>
      <c r="V17">
        <v>0</v>
      </c>
      <c r="W17">
        <v>0</v>
      </c>
    </row>
    <row r="18" spans="4:23" x14ac:dyDescent="0.25">
      <c r="D18" t="s">
        <v>102</v>
      </c>
      <c r="E18" t="s">
        <v>81</v>
      </c>
      <c r="F18" t="s">
        <v>103</v>
      </c>
      <c r="G18" t="s">
        <v>104</v>
      </c>
      <c r="J18" t="s">
        <v>190</v>
      </c>
      <c r="K18" t="s">
        <v>191</v>
      </c>
      <c r="R18" t="s">
        <v>72</v>
      </c>
      <c r="S18" s="14">
        <v>45869</v>
      </c>
      <c r="T18" s="14">
        <v>45839</v>
      </c>
      <c r="U18" s="14">
        <v>45869.999988425923</v>
      </c>
      <c r="V18">
        <v>0</v>
      </c>
      <c r="W18">
        <v>0</v>
      </c>
    </row>
    <row r="19" spans="4:23" x14ac:dyDescent="0.25">
      <c r="D19" t="s">
        <v>102</v>
      </c>
      <c r="E19" t="s">
        <v>84</v>
      </c>
      <c r="F19" t="s">
        <v>103</v>
      </c>
      <c r="G19" t="s">
        <v>105</v>
      </c>
      <c r="J19" t="s">
        <v>192</v>
      </c>
      <c r="K19" t="s">
        <v>193</v>
      </c>
      <c r="R19" t="s">
        <v>72</v>
      </c>
      <c r="S19" s="14">
        <v>45838</v>
      </c>
      <c r="T19" s="14">
        <v>45809</v>
      </c>
      <c r="U19" s="14">
        <v>45838.999988425923</v>
      </c>
      <c r="V19">
        <v>0</v>
      </c>
      <c r="W19">
        <v>0</v>
      </c>
    </row>
    <row r="20" spans="4:23" x14ac:dyDescent="0.25">
      <c r="D20" t="s">
        <v>102</v>
      </c>
      <c r="E20" t="s">
        <v>86</v>
      </c>
      <c r="F20" t="s">
        <v>103</v>
      </c>
      <c r="G20" t="s">
        <v>106</v>
      </c>
      <c r="J20" t="s">
        <v>194</v>
      </c>
      <c r="K20" t="s">
        <v>195</v>
      </c>
      <c r="R20" t="s">
        <v>72</v>
      </c>
      <c r="S20" s="14">
        <v>45808</v>
      </c>
      <c r="T20" s="14">
        <v>45778</v>
      </c>
      <c r="U20" s="14">
        <v>45808.999988425923</v>
      </c>
      <c r="V20">
        <v>0</v>
      </c>
      <c r="W20">
        <v>0</v>
      </c>
    </row>
    <row r="21" spans="4:23" x14ac:dyDescent="0.25">
      <c r="D21" t="s">
        <v>102</v>
      </c>
      <c r="E21" t="s">
        <v>92</v>
      </c>
      <c r="F21" t="s">
        <v>103</v>
      </c>
      <c r="G21" t="s">
        <v>107</v>
      </c>
      <c r="J21" t="s">
        <v>1083</v>
      </c>
      <c r="K21" t="s">
        <v>1084</v>
      </c>
      <c r="R21" t="s">
        <v>72</v>
      </c>
      <c r="S21" s="14">
        <v>45777</v>
      </c>
      <c r="T21" s="14">
        <v>45748</v>
      </c>
      <c r="U21" s="14">
        <v>45777.999988425923</v>
      </c>
      <c r="V21">
        <v>0</v>
      </c>
      <c r="W21">
        <v>0</v>
      </c>
    </row>
    <row r="22" spans="4:23" x14ac:dyDescent="0.25">
      <c r="D22" t="s">
        <v>102</v>
      </c>
      <c r="E22" t="s">
        <v>94</v>
      </c>
      <c r="F22" t="s">
        <v>103</v>
      </c>
      <c r="G22" t="s">
        <v>108</v>
      </c>
      <c r="J22" t="s">
        <v>196</v>
      </c>
      <c r="K22" t="s">
        <v>197</v>
      </c>
      <c r="R22" t="s">
        <v>72</v>
      </c>
      <c r="S22" s="14">
        <v>45747</v>
      </c>
      <c r="T22" s="14">
        <v>45717</v>
      </c>
      <c r="U22" s="14">
        <v>45747.999988425923</v>
      </c>
      <c r="V22">
        <v>0</v>
      </c>
      <c r="W22">
        <v>0</v>
      </c>
    </row>
    <row r="23" spans="4:23" x14ac:dyDescent="0.25">
      <c r="D23" t="s">
        <v>109</v>
      </c>
      <c r="E23" t="s">
        <v>110</v>
      </c>
      <c r="F23" t="s">
        <v>111</v>
      </c>
      <c r="G23" t="s">
        <v>112</v>
      </c>
      <c r="J23" t="s">
        <v>198</v>
      </c>
      <c r="K23" t="s">
        <v>199</v>
      </c>
      <c r="R23" t="s">
        <v>72</v>
      </c>
      <c r="S23" s="14">
        <v>45716</v>
      </c>
      <c r="T23" s="14">
        <v>45689</v>
      </c>
      <c r="U23" s="14">
        <v>45716.999988425923</v>
      </c>
      <c r="V23">
        <v>0</v>
      </c>
      <c r="W23">
        <v>0</v>
      </c>
    </row>
    <row r="24" spans="4:23" x14ac:dyDescent="0.25">
      <c r="D24" t="s">
        <v>113</v>
      </c>
      <c r="E24" t="s">
        <v>110</v>
      </c>
      <c r="F24" t="s">
        <v>114</v>
      </c>
      <c r="G24" t="s">
        <v>115</v>
      </c>
      <c r="J24" t="s">
        <v>200</v>
      </c>
      <c r="K24" t="s">
        <v>201</v>
      </c>
      <c r="R24" t="s">
        <v>72</v>
      </c>
      <c r="S24" s="14">
        <v>45688</v>
      </c>
      <c r="T24" s="14">
        <v>45658</v>
      </c>
      <c r="U24" s="14">
        <v>45688.999988425923</v>
      </c>
      <c r="V24">
        <v>0</v>
      </c>
      <c r="W24">
        <v>0</v>
      </c>
    </row>
    <row r="25" spans="4:23" x14ac:dyDescent="0.25">
      <c r="D25" t="s">
        <v>116</v>
      </c>
      <c r="E25" t="s">
        <v>76</v>
      </c>
      <c r="F25" t="s">
        <v>117</v>
      </c>
      <c r="G25" t="s">
        <v>118</v>
      </c>
      <c r="J25" t="s">
        <v>202</v>
      </c>
      <c r="K25" t="s">
        <v>203</v>
      </c>
      <c r="R25" t="s">
        <v>80</v>
      </c>
      <c r="S25" s="14">
        <v>46090</v>
      </c>
      <c r="T25" s="14">
        <v>46063</v>
      </c>
      <c r="U25" s="14">
        <v>46090.999988425923</v>
      </c>
      <c r="V25">
        <v>-8942.06</v>
      </c>
      <c r="W25">
        <v>-8138.14</v>
      </c>
    </row>
    <row r="26" spans="4:23" x14ac:dyDescent="0.25">
      <c r="D26" t="s">
        <v>116</v>
      </c>
      <c r="E26" t="s">
        <v>78</v>
      </c>
      <c r="F26" t="s">
        <v>117</v>
      </c>
      <c r="G26" t="s">
        <v>119</v>
      </c>
      <c r="J26" t="s">
        <v>204</v>
      </c>
      <c r="K26" t="s">
        <v>205</v>
      </c>
      <c r="R26" t="s">
        <v>80</v>
      </c>
      <c r="S26" s="14">
        <v>46062</v>
      </c>
      <c r="T26" s="14">
        <v>46035</v>
      </c>
      <c r="U26" s="14">
        <v>46062.999988425923</v>
      </c>
      <c r="V26">
        <v>-6538.89</v>
      </c>
      <c r="W26">
        <v>-8942.06</v>
      </c>
    </row>
    <row r="27" spans="4:23" x14ac:dyDescent="0.25">
      <c r="D27" t="s">
        <v>116</v>
      </c>
      <c r="E27" t="s">
        <v>120</v>
      </c>
      <c r="F27" t="s">
        <v>117</v>
      </c>
      <c r="G27" t="s">
        <v>121</v>
      </c>
      <c r="J27" t="s">
        <v>206</v>
      </c>
      <c r="K27" t="s">
        <v>207</v>
      </c>
      <c r="R27" t="s">
        <v>80</v>
      </c>
      <c r="S27" s="14">
        <v>46034</v>
      </c>
      <c r="T27" s="14">
        <v>46000</v>
      </c>
      <c r="U27" s="14">
        <v>46034.999988425923</v>
      </c>
      <c r="V27">
        <v>-11348.24</v>
      </c>
      <c r="W27">
        <v>-6538.89</v>
      </c>
    </row>
    <row r="28" spans="4:23" x14ac:dyDescent="0.25">
      <c r="D28" t="s">
        <v>122</v>
      </c>
      <c r="E28" t="s">
        <v>76</v>
      </c>
      <c r="F28" t="s">
        <v>123</v>
      </c>
      <c r="G28" t="s">
        <v>124</v>
      </c>
      <c r="J28" t="s">
        <v>208</v>
      </c>
      <c r="K28" t="s">
        <v>209</v>
      </c>
      <c r="R28" t="s">
        <v>80</v>
      </c>
      <c r="S28" s="14">
        <v>45999</v>
      </c>
      <c r="T28" s="14">
        <v>45969</v>
      </c>
      <c r="U28" s="14">
        <v>45999.999988425923</v>
      </c>
      <c r="V28">
        <v>-9339.35</v>
      </c>
      <c r="W28">
        <v>-11348.24</v>
      </c>
    </row>
    <row r="29" spans="4:23" x14ac:dyDescent="0.25">
      <c r="D29" t="s">
        <v>122</v>
      </c>
      <c r="E29" t="s">
        <v>78</v>
      </c>
      <c r="F29" t="s">
        <v>123</v>
      </c>
      <c r="G29" t="s">
        <v>125</v>
      </c>
      <c r="J29" t="s">
        <v>210</v>
      </c>
      <c r="K29" t="s">
        <v>211</v>
      </c>
      <c r="R29" t="s">
        <v>80</v>
      </c>
      <c r="S29" s="14">
        <v>45968</v>
      </c>
      <c r="T29" s="14">
        <v>45939</v>
      </c>
      <c r="U29" s="14">
        <v>45968.999988425923</v>
      </c>
      <c r="V29">
        <v>-8616.94</v>
      </c>
      <c r="W29">
        <v>-9339.35</v>
      </c>
    </row>
    <row r="30" spans="4:23" x14ac:dyDescent="0.25">
      <c r="D30" t="s">
        <v>122</v>
      </c>
      <c r="E30" t="s">
        <v>120</v>
      </c>
      <c r="F30" t="s">
        <v>123</v>
      </c>
      <c r="G30" t="s">
        <v>126</v>
      </c>
      <c r="J30" t="s">
        <v>212</v>
      </c>
      <c r="K30" t="s">
        <v>213</v>
      </c>
      <c r="R30" t="s">
        <v>80</v>
      </c>
      <c r="S30" s="14">
        <v>45938</v>
      </c>
      <c r="T30" s="14">
        <v>45911</v>
      </c>
      <c r="U30" s="14">
        <v>45938.999988425923</v>
      </c>
      <c r="V30">
        <v>-5638.3</v>
      </c>
      <c r="W30">
        <v>-8616.94</v>
      </c>
    </row>
    <row r="31" spans="4:23" x14ac:dyDescent="0.25">
      <c r="D31" t="s">
        <v>127</v>
      </c>
      <c r="E31" t="s">
        <v>81</v>
      </c>
      <c r="F31" t="s">
        <v>128</v>
      </c>
      <c r="G31" t="s">
        <v>129</v>
      </c>
      <c r="J31" t="s">
        <v>214</v>
      </c>
      <c r="K31" t="s">
        <v>215</v>
      </c>
      <c r="R31" t="s">
        <v>80</v>
      </c>
      <c r="S31" s="14">
        <v>45910</v>
      </c>
      <c r="T31" s="14">
        <v>45881</v>
      </c>
      <c r="U31" s="14">
        <v>45910.999988425923</v>
      </c>
      <c r="V31">
        <v>-19738.86</v>
      </c>
      <c r="W31">
        <v>-5638.3</v>
      </c>
    </row>
    <row r="32" spans="4:23" x14ac:dyDescent="0.25">
      <c r="D32" t="s">
        <v>127</v>
      </c>
      <c r="E32" t="s">
        <v>84</v>
      </c>
      <c r="F32" t="s">
        <v>128</v>
      </c>
      <c r="G32" t="s">
        <v>130</v>
      </c>
      <c r="J32" t="s">
        <v>216</v>
      </c>
      <c r="K32" t="s">
        <v>217</v>
      </c>
      <c r="R32" t="s">
        <v>80</v>
      </c>
      <c r="S32" s="14">
        <v>45880</v>
      </c>
      <c r="T32" s="14">
        <v>45847</v>
      </c>
      <c r="U32" s="14">
        <v>45880.999988425923</v>
      </c>
      <c r="V32">
        <v>-15507.14</v>
      </c>
      <c r="W32">
        <v>-19738.86</v>
      </c>
    </row>
    <row r="33" spans="4:23" x14ac:dyDescent="0.25">
      <c r="D33" t="s">
        <v>127</v>
      </c>
      <c r="E33" t="s">
        <v>86</v>
      </c>
      <c r="F33" t="s">
        <v>128</v>
      </c>
      <c r="G33" t="s">
        <v>131</v>
      </c>
      <c r="J33" t="s">
        <v>218</v>
      </c>
      <c r="K33" t="s">
        <v>219</v>
      </c>
      <c r="R33" t="s">
        <v>80</v>
      </c>
      <c r="S33" s="14">
        <v>45846</v>
      </c>
      <c r="T33" s="14">
        <v>45818</v>
      </c>
      <c r="U33" s="14">
        <v>45846.999988425923</v>
      </c>
      <c r="V33">
        <v>-14354.2</v>
      </c>
      <c r="W33">
        <v>-15507.14</v>
      </c>
    </row>
    <row r="34" spans="4:23" x14ac:dyDescent="0.25">
      <c r="D34" t="s">
        <v>127</v>
      </c>
      <c r="E34" t="s">
        <v>88</v>
      </c>
      <c r="F34" t="s">
        <v>128</v>
      </c>
      <c r="G34" t="s">
        <v>132</v>
      </c>
      <c r="J34" t="s">
        <v>220</v>
      </c>
      <c r="K34" t="s">
        <v>221</v>
      </c>
      <c r="R34" t="s">
        <v>80</v>
      </c>
      <c r="S34" s="14">
        <v>45817</v>
      </c>
      <c r="T34" s="14">
        <v>45786</v>
      </c>
      <c r="U34" s="14">
        <v>45817.999988425923</v>
      </c>
      <c r="V34">
        <v>-12076.12</v>
      </c>
      <c r="W34">
        <v>-14354.2</v>
      </c>
    </row>
    <row r="35" spans="4:23" x14ac:dyDescent="0.25">
      <c r="D35" t="s">
        <v>127</v>
      </c>
      <c r="E35" t="s">
        <v>133</v>
      </c>
      <c r="F35" t="s">
        <v>128</v>
      </c>
      <c r="G35" t="s">
        <v>134</v>
      </c>
      <c r="J35" t="s">
        <v>222</v>
      </c>
      <c r="K35" t="s">
        <v>223</v>
      </c>
      <c r="R35" t="s">
        <v>80</v>
      </c>
      <c r="S35" s="14">
        <v>45785</v>
      </c>
      <c r="T35" s="14">
        <v>45756</v>
      </c>
      <c r="U35" s="14">
        <v>45785.999988425923</v>
      </c>
      <c r="V35">
        <v>-16146.65</v>
      </c>
      <c r="W35">
        <v>-12076.12</v>
      </c>
    </row>
    <row r="36" spans="4:23" x14ac:dyDescent="0.25">
      <c r="D36" t="s">
        <v>127</v>
      </c>
      <c r="E36" t="s">
        <v>135</v>
      </c>
      <c r="F36" t="s">
        <v>128</v>
      </c>
      <c r="G36" t="s">
        <v>136</v>
      </c>
      <c r="J36" t="s">
        <v>224</v>
      </c>
      <c r="K36" t="s">
        <v>225</v>
      </c>
      <c r="R36" t="s">
        <v>80</v>
      </c>
      <c r="S36" s="14">
        <v>45755</v>
      </c>
      <c r="T36" s="14">
        <v>45727</v>
      </c>
      <c r="U36" s="14">
        <v>45755.999988425923</v>
      </c>
      <c r="V36">
        <v>-13042.95</v>
      </c>
      <c r="W36">
        <v>-16146.65</v>
      </c>
    </row>
    <row r="37" spans="4:23" x14ac:dyDescent="0.25">
      <c r="D37" t="s">
        <v>127</v>
      </c>
      <c r="E37" t="s">
        <v>92</v>
      </c>
      <c r="F37" t="s">
        <v>128</v>
      </c>
      <c r="G37" t="s">
        <v>137</v>
      </c>
      <c r="J37" t="s">
        <v>226</v>
      </c>
      <c r="K37" t="s">
        <v>227</v>
      </c>
      <c r="R37" t="s">
        <v>80</v>
      </c>
      <c r="S37" s="14">
        <v>45726</v>
      </c>
      <c r="T37" s="14">
        <v>45699</v>
      </c>
      <c r="U37" s="14">
        <v>45726.999988425923</v>
      </c>
      <c r="V37">
        <v>-10889.02</v>
      </c>
      <c r="W37">
        <v>-13042.95</v>
      </c>
    </row>
    <row r="38" spans="4:23" x14ac:dyDescent="0.25">
      <c r="D38" t="s">
        <v>127</v>
      </c>
      <c r="E38" t="s">
        <v>94</v>
      </c>
      <c r="F38" t="s">
        <v>128</v>
      </c>
      <c r="G38" t="s">
        <v>138</v>
      </c>
      <c r="J38" t="s">
        <v>228</v>
      </c>
      <c r="K38" t="s">
        <v>229</v>
      </c>
      <c r="R38" t="s">
        <v>80</v>
      </c>
      <c r="S38" s="14">
        <v>45698</v>
      </c>
      <c r="T38" s="14">
        <v>45671</v>
      </c>
      <c r="U38" s="14">
        <v>45698.999988425923</v>
      </c>
      <c r="V38">
        <v>-11247.54</v>
      </c>
      <c r="W38">
        <v>-10889.02</v>
      </c>
    </row>
    <row r="39" spans="4:23" x14ac:dyDescent="0.25">
      <c r="D39" t="s">
        <v>139</v>
      </c>
      <c r="E39" t="s">
        <v>65</v>
      </c>
      <c r="F39" t="s">
        <v>140</v>
      </c>
      <c r="G39" t="s">
        <v>141</v>
      </c>
      <c r="J39" t="s">
        <v>230</v>
      </c>
      <c r="K39" t="s">
        <v>231</v>
      </c>
      <c r="R39" t="s">
        <v>80</v>
      </c>
      <c r="S39" s="14">
        <v>45670</v>
      </c>
      <c r="T39" s="14">
        <v>45636</v>
      </c>
      <c r="U39" s="14">
        <v>45670.999988425923</v>
      </c>
      <c r="V39">
        <v>-6436.96</v>
      </c>
      <c r="W39">
        <v>-11247.54</v>
      </c>
    </row>
    <row r="40" spans="4:23" x14ac:dyDescent="0.25">
      <c r="D40" t="s">
        <v>139</v>
      </c>
      <c r="E40" t="s">
        <v>68</v>
      </c>
      <c r="F40" t="s">
        <v>140</v>
      </c>
      <c r="G40" t="s">
        <v>142</v>
      </c>
      <c r="J40" t="s">
        <v>232</v>
      </c>
      <c r="K40" t="s">
        <v>233</v>
      </c>
      <c r="R40" t="s">
        <v>80</v>
      </c>
      <c r="S40" s="14">
        <v>45635</v>
      </c>
      <c r="T40" s="14">
        <v>45604</v>
      </c>
      <c r="U40" s="14">
        <v>45635.999988425923</v>
      </c>
      <c r="V40">
        <v>-4827.9399999999996</v>
      </c>
      <c r="W40">
        <v>-6436.96</v>
      </c>
    </row>
    <row r="41" spans="4:23" x14ac:dyDescent="0.25">
      <c r="D41" t="s">
        <v>139</v>
      </c>
      <c r="E41" t="s">
        <v>143</v>
      </c>
      <c r="F41" t="s">
        <v>140</v>
      </c>
      <c r="G41" t="s">
        <v>144</v>
      </c>
      <c r="J41" t="s">
        <v>234</v>
      </c>
      <c r="K41" t="s">
        <v>235</v>
      </c>
      <c r="R41" t="s">
        <v>96</v>
      </c>
      <c r="S41" s="14">
        <v>46073</v>
      </c>
      <c r="T41" s="14">
        <v>46043</v>
      </c>
      <c r="U41" s="14">
        <v>46073.999988425923</v>
      </c>
      <c r="V41">
        <v>0</v>
      </c>
      <c r="W41">
        <v>0</v>
      </c>
    </row>
    <row r="42" spans="4:23" x14ac:dyDescent="0.25">
      <c r="D42" t="s">
        <v>145</v>
      </c>
      <c r="E42" t="s">
        <v>146</v>
      </c>
      <c r="F42" t="s">
        <v>147</v>
      </c>
      <c r="G42" t="s">
        <v>148</v>
      </c>
      <c r="J42" t="s">
        <v>236</v>
      </c>
      <c r="K42" t="s">
        <v>237</v>
      </c>
      <c r="R42" t="s">
        <v>96</v>
      </c>
      <c r="S42" s="14">
        <v>46042</v>
      </c>
      <c r="T42" s="14">
        <v>46012</v>
      </c>
      <c r="U42" s="14">
        <v>46042.999988425923</v>
      </c>
      <c r="V42">
        <v>0</v>
      </c>
      <c r="W42">
        <v>0</v>
      </c>
    </row>
    <row r="43" spans="4:23" x14ac:dyDescent="0.25">
      <c r="D43" t="s">
        <v>145</v>
      </c>
      <c r="E43" t="s">
        <v>149</v>
      </c>
      <c r="F43" t="s">
        <v>147</v>
      </c>
      <c r="G43" t="s">
        <v>150</v>
      </c>
      <c r="J43" t="s">
        <v>238</v>
      </c>
      <c r="K43" t="s">
        <v>239</v>
      </c>
      <c r="R43" t="s">
        <v>96</v>
      </c>
      <c r="S43" s="14">
        <v>46011</v>
      </c>
      <c r="T43" s="14">
        <v>45982</v>
      </c>
      <c r="U43" s="14">
        <v>46011.999988425923</v>
      </c>
      <c r="V43">
        <v>0</v>
      </c>
      <c r="W43">
        <v>0</v>
      </c>
    </row>
    <row r="44" spans="4:23" x14ac:dyDescent="0.25">
      <c r="D44" t="s">
        <v>151</v>
      </c>
      <c r="E44" t="s">
        <v>81</v>
      </c>
      <c r="F44" t="s">
        <v>152</v>
      </c>
      <c r="G44" t="s">
        <v>153</v>
      </c>
      <c r="J44" t="s">
        <v>240</v>
      </c>
      <c r="K44" t="s">
        <v>241</v>
      </c>
      <c r="R44" t="s">
        <v>96</v>
      </c>
      <c r="S44" s="14">
        <v>45981</v>
      </c>
      <c r="T44" s="14">
        <v>45951</v>
      </c>
      <c r="U44" s="14">
        <v>45981.999988425923</v>
      </c>
      <c r="V44">
        <v>0</v>
      </c>
      <c r="W44">
        <v>0</v>
      </c>
    </row>
    <row r="45" spans="4:23" x14ac:dyDescent="0.25">
      <c r="D45" t="s">
        <v>151</v>
      </c>
      <c r="E45" t="s">
        <v>84</v>
      </c>
      <c r="F45" t="s">
        <v>152</v>
      </c>
      <c r="G45" t="s">
        <v>154</v>
      </c>
      <c r="J45" t="s">
        <v>242</v>
      </c>
      <c r="K45" t="s">
        <v>243</v>
      </c>
      <c r="R45" t="s">
        <v>96</v>
      </c>
      <c r="S45" s="14">
        <v>45950</v>
      </c>
      <c r="T45" s="14">
        <v>45921</v>
      </c>
      <c r="U45" s="14">
        <v>45950.999988425923</v>
      </c>
      <c r="V45">
        <v>-13.53</v>
      </c>
      <c r="W45">
        <v>0</v>
      </c>
    </row>
    <row r="46" spans="4:23" x14ac:dyDescent="0.25">
      <c r="D46" t="s">
        <v>151</v>
      </c>
      <c r="E46" t="s">
        <v>86</v>
      </c>
      <c r="F46" t="s">
        <v>152</v>
      </c>
      <c r="G46" t="s">
        <v>155</v>
      </c>
      <c r="J46" t="s">
        <v>244</v>
      </c>
      <c r="K46" t="s">
        <v>245</v>
      </c>
      <c r="R46" t="s">
        <v>96</v>
      </c>
      <c r="S46" s="14">
        <v>45920</v>
      </c>
      <c r="T46" s="14">
        <v>45890</v>
      </c>
      <c r="U46" s="14">
        <v>45920.999988425923</v>
      </c>
      <c r="V46">
        <v>87.97</v>
      </c>
      <c r="W46">
        <v>-13.53</v>
      </c>
    </row>
    <row r="47" spans="4:23" x14ac:dyDescent="0.25">
      <c r="D47" t="s">
        <v>151</v>
      </c>
      <c r="E47" t="s">
        <v>92</v>
      </c>
      <c r="F47" t="s">
        <v>152</v>
      </c>
      <c r="G47" t="s">
        <v>156</v>
      </c>
      <c r="J47" t="s">
        <v>246</v>
      </c>
      <c r="K47" t="s">
        <v>247</v>
      </c>
      <c r="R47" t="s">
        <v>96</v>
      </c>
      <c r="S47" s="14">
        <v>45889</v>
      </c>
      <c r="T47" s="14">
        <v>45859</v>
      </c>
      <c r="U47" s="14">
        <v>45889.999988425923</v>
      </c>
      <c r="V47">
        <v>413.63</v>
      </c>
      <c r="W47">
        <v>87.97</v>
      </c>
    </row>
    <row r="48" spans="4:23" x14ac:dyDescent="0.25">
      <c r="D48" t="s">
        <v>151</v>
      </c>
      <c r="E48" t="s">
        <v>94</v>
      </c>
      <c r="F48" t="s">
        <v>152</v>
      </c>
      <c r="G48" t="s">
        <v>157</v>
      </c>
      <c r="J48" t="s">
        <v>248</v>
      </c>
      <c r="K48" t="s">
        <v>249</v>
      </c>
      <c r="R48" t="s">
        <v>96</v>
      </c>
      <c r="S48" s="14">
        <v>45858</v>
      </c>
      <c r="T48" s="14">
        <v>45829</v>
      </c>
      <c r="U48" s="14">
        <v>45858.999988425923</v>
      </c>
      <c r="V48">
        <v>12.26</v>
      </c>
      <c r="W48">
        <v>413.63</v>
      </c>
    </row>
    <row r="49" spans="10:23" x14ac:dyDescent="0.25">
      <c r="J49" t="s">
        <v>250</v>
      </c>
      <c r="K49" t="s">
        <v>251</v>
      </c>
      <c r="R49" t="s">
        <v>96</v>
      </c>
      <c r="S49" s="14">
        <v>45828</v>
      </c>
      <c r="T49" s="14">
        <v>45798</v>
      </c>
      <c r="U49" s="14">
        <v>45828.999988425923</v>
      </c>
      <c r="V49">
        <v>32.78</v>
      </c>
      <c r="W49">
        <v>12.26</v>
      </c>
    </row>
    <row r="50" spans="10:23" x14ac:dyDescent="0.25">
      <c r="J50" t="s">
        <v>252</v>
      </c>
      <c r="K50" t="s">
        <v>253</v>
      </c>
      <c r="R50" t="s">
        <v>96</v>
      </c>
      <c r="S50" s="14">
        <v>45797</v>
      </c>
      <c r="T50" s="14">
        <v>45768</v>
      </c>
      <c r="U50" s="14">
        <v>45797.999988425923</v>
      </c>
      <c r="V50">
        <v>-1545.82</v>
      </c>
      <c r="W50">
        <v>32.78</v>
      </c>
    </row>
    <row r="51" spans="10:23" x14ac:dyDescent="0.25">
      <c r="J51" t="s">
        <v>254</v>
      </c>
      <c r="K51" t="s">
        <v>255</v>
      </c>
      <c r="R51" t="s">
        <v>96</v>
      </c>
      <c r="S51" s="14">
        <v>45767</v>
      </c>
      <c r="T51" s="14">
        <v>45737</v>
      </c>
      <c r="U51" s="14">
        <v>45767.999988425923</v>
      </c>
      <c r="V51">
        <v>-1904.95</v>
      </c>
      <c r="W51">
        <v>-1545.82</v>
      </c>
    </row>
    <row r="52" spans="10:23" x14ac:dyDescent="0.25">
      <c r="J52" t="s">
        <v>256</v>
      </c>
      <c r="K52" t="s">
        <v>257</v>
      </c>
      <c r="R52" t="s">
        <v>96</v>
      </c>
      <c r="S52" s="14">
        <v>45736</v>
      </c>
      <c r="T52" s="14">
        <v>45709</v>
      </c>
      <c r="U52" s="14">
        <v>45736.999988425923</v>
      </c>
      <c r="V52">
        <v>-2464.02</v>
      </c>
      <c r="W52">
        <v>-1904.95</v>
      </c>
    </row>
    <row r="53" spans="10:23" x14ac:dyDescent="0.25">
      <c r="J53" t="s">
        <v>258</v>
      </c>
      <c r="K53" t="s">
        <v>259</v>
      </c>
      <c r="R53" t="s">
        <v>96</v>
      </c>
      <c r="S53" s="14">
        <v>45708</v>
      </c>
      <c r="T53" s="14">
        <v>45678</v>
      </c>
      <c r="U53" s="14">
        <v>45708.999988425923</v>
      </c>
      <c r="V53">
        <v>0</v>
      </c>
      <c r="W53">
        <v>-2464.02</v>
      </c>
    </row>
    <row r="54" spans="10:23" x14ac:dyDescent="0.25">
      <c r="J54" t="s">
        <v>260</v>
      </c>
      <c r="K54" t="s">
        <v>261</v>
      </c>
      <c r="R54" t="s">
        <v>96</v>
      </c>
      <c r="S54" s="14">
        <v>45677</v>
      </c>
      <c r="T54" s="14">
        <v>45647</v>
      </c>
      <c r="U54" s="14">
        <v>45677.999988425923</v>
      </c>
      <c r="V54">
        <v>-171.48</v>
      </c>
      <c r="W54">
        <v>0</v>
      </c>
    </row>
    <row r="55" spans="10:23" x14ac:dyDescent="0.25">
      <c r="J55" t="s">
        <v>262</v>
      </c>
      <c r="K55" t="s">
        <v>263</v>
      </c>
      <c r="R55" t="s">
        <v>96</v>
      </c>
      <c r="S55" s="14">
        <v>45646</v>
      </c>
      <c r="T55" s="14">
        <v>45616</v>
      </c>
      <c r="U55" s="14">
        <v>45646.999988425923</v>
      </c>
      <c r="V55">
        <v>-171.48</v>
      </c>
      <c r="W55">
        <v>-171.48</v>
      </c>
    </row>
    <row r="56" spans="10:23" x14ac:dyDescent="0.25">
      <c r="J56" t="s">
        <v>264</v>
      </c>
      <c r="K56" t="s">
        <v>265</v>
      </c>
      <c r="R56" t="s">
        <v>102</v>
      </c>
      <c r="S56" s="14">
        <v>46090</v>
      </c>
      <c r="T56" s="14">
        <v>46063</v>
      </c>
      <c r="U56" s="14">
        <v>46090.999988425923</v>
      </c>
      <c r="V56">
        <v>-66373.72</v>
      </c>
      <c r="W56">
        <v>-66386.45</v>
      </c>
    </row>
    <row r="57" spans="10:23" x14ac:dyDescent="0.25">
      <c r="J57" t="s">
        <v>266</v>
      </c>
      <c r="K57" t="s">
        <v>267</v>
      </c>
      <c r="R57" t="s">
        <v>102</v>
      </c>
      <c r="S57" s="14">
        <v>46062</v>
      </c>
      <c r="T57" s="14">
        <v>46035</v>
      </c>
      <c r="U57" s="14">
        <v>46062.999988425923</v>
      </c>
      <c r="V57">
        <v>-66360.990000000005</v>
      </c>
      <c r="W57">
        <v>-66373.72</v>
      </c>
    </row>
    <row r="58" spans="10:23" x14ac:dyDescent="0.25">
      <c r="J58" t="s">
        <v>268</v>
      </c>
      <c r="K58" t="s">
        <v>269</v>
      </c>
      <c r="R58" t="s">
        <v>102</v>
      </c>
      <c r="S58" s="14">
        <v>46034</v>
      </c>
      <c r="T58" s="14">
        <v>46000</v>
      </c>
      <c r="U58" s="14">
        <v>46034.999988425923</v>
      </c>
      <c r="V58">
        <v>-57346.38</v>
      </c>
      <c r="W58">
        <v>-66360.990000000005</v>
      </c>
    </row>
    <row r="59" spans="10:23" x14ac:dyDescent="0.25">
      <c r="J59" t="s">
        <v>270</v>
      </c>
      <c r="K59" t="s">
        <v>271</v>
      </c>
      <c r="R59" t="s">
        <v>102</v>
      </c>
      <c r="S59" s="14">
        <v>45999</v>
      </c>
      <c r="T59" s="14">
        <v>45969</v>
      </c>
      <c r="U59" s="14">
        <v>45999.999988425923</v>
      </c>
      <c r="V59">
        <v>-57334.21</v>
      </c>
      <c r="W59">
        <v>-57346.38</v>
      </c>
    </row>
    <row r="60" spans="10:23" x14ac:dyDescent="0.25">
      <c r="J60" t="s">
        <v>272</v>
      </c>
      <c r="K60" t="s">
        <v>273</v>
      </c>
      <c r="R60" t="s">
        <v>102</v>
      </c>
      <c r="S60" s="14">
        <v>45968</v>
      </c>
      <c r="T60" s="14">
        <v>45939</v>
      </c>
      <c r="U60" s="14">
        <v>45968.999988425923</v>
      </c>
      <c r="V60">
        <v>-57322.43</v>
      </c>
      <c r="W60">
        <v>-57334.21</v>
      </c>
    </row>
    <row r="61" spans="10:23" x14ac:dyDescent="0.25">
      <c r="J61" t="s">
        <v>274</v>
      </c>
      <c r="K61" t="s">
        <v>275</v>
      </c>
      <c r="R61" t="s">
        <v>102</v>
      </c>
      <c r="S61" s="14">
        <v>45938</v>
      </c>
      <c r="T61" s="14">
        <v>45911</v>
      </c>
      <c r="U61" s="14">
        <v>45938.999988425923</v>
      </c>
      <c r="V61">
        <v>-57311.43</v>
      </c>
      <c r="W61">
        <v>-57322.43</v>
      </c>
    </row>
    <row r="62" spans="10:23" x14ac:dyDescent="0.25">
      <c r="J62" t="s">
        <v>276</v>
      </c>
      <c r="K62" t="s">
        <v>277</v>
      </c>
      <c r="R62" t="s">
        <v>102</v>
      </c>
      <c r="S62" s="14">
        <v>45910</v>
      </c>
      <c r="T62" s="14">
        <v>45881</v>
      </c>
      <c r="U62" s="14">
        <v>45910.999988425923</v>
      </c>
      <c r="V62">
        <v>-40301.64</v>
      </c>
      <c r="W62">
        <v>-57311.43</v>
      </c>
    </row>
    <row r="63" spans="10:23" x14ac:dyDescent="0.25">
      <c r="J63" t="s">
        <v>278</v>
      </c>
      <c r="K63" t="s">
        <v>279</v>
      </c>
      <c r="R63" t="s">
        <v>102</v>
      </c>
      <c r="S63" s="14">
        <v>45880</v>
      </c>
      <c r="T63" s="14">
        <v>45847</v>
      </c>
      <c r="U63" s="14">
        <v>45880.999988425923</v>
      </c>
      <c r="V63">
        <v>-39999.75</v>
      </c>
      <c r="W63">
        <v>-40301.64</v>
      </c>
    </row>
    <row r="64" spans="10:23" x14ac:dyDescent="0.25">
      <c r="J64" t="s">
        <v>280</v>
      </c>
      <c r="K64" t="s">
        <v>281</v>
      </c>
      <c r="R64" t="s">
        <v>102</v>
      </c>
      <c r="S64" s="14">
        <v>45846</v>
      </c>
      <c r="T64" s="14">
        <v>45818</v>
      </c>
      <c r="U64" s="14">
        <v>45846.999988425923</v>
      </c>
      <c r="V64">
        <v>-39991.800000000003</v>
      </c>
      <c r="W64">
        <v>-39999.75</v>
      </c>
    </row>
    <row r="65" spans="10:23" x14ac:dyDescent="0.25">
      <c r="J65" t="s">
        <v>282</v>
      </c>
      <c r="K65" t="s">
        <v>283</v>
      </c>
      <c r="R65" t="s">
        <v>102</v>
      </c>
      <c r="S65" s="14">
        <v>45817</v>
      </c>
      <c r="T65" s="14">
        <v>45786</v>
      </c>
      <c r="U65" s="14">
        <v>45817.999988425923</v>
      </c>
      <c r="V65">
        <v>-39983.040000000001</v>
      </c>
      <c r="W65">
        <v>-39991.800000000003</v>
      </c>
    </row>
    <row r="66" spans="10:23" x14ac:dyDescent="0.25">
      <c r="J66" t="s">
        <v>284</v>
      </c>
      <c r="K66" t="s">
        <v>285</v>
      </c>
      <c r="R66" t="s">
        <v>102</v>
      </c>
      <c r="S66" s="14">
        <v>45785</v>
      </c>
      <c r="T66" s="14">
        <v>45756</v>
      </c>
      <c r="U66" s="14">
        <v>45785.999988425923</v>
      </c>
      <c r="V66">
        <v>-29975.37</v>
      </c>
      <c r="W66">
        <v>-39983.040000000001</v>
      </c>
    </row>
    <row r="67" spans="10:23" x14ac:dyDescent="0.25">
      <c r="J67" t="s">
        <v>286</v>
      </c>
      <c r="K67" t="s">
        <v>287</v>
      </c>
      <c r="R67" t="s">
        <v>102</v>
      </c>
      <c r="S67" s="14">
        <v>45755</v>
      </c>
      <c r="T67" s="14">
        <v>45727</v>
      </c>
      <c r="U67" s="14">
        <v>45755.999988425923</v>
      </c>
      <c r="V67">
        <v>-29969.42</v>
      </c>
      <c r="W67">
        <v>-29975.37</v>
      </c>
    </row>
    <row r="68" spans="10:23" x14ac:dyDescent="0.25">
      <c r="J68" t="s">
        <v>288</v>
      </c>
      <c r="K68" t="s">
        <v>289</v>
      </c>
      <c r="R68" t="s">
        <v>102</v>
      </c>
      <c r="S68" s="14">
        <v>45726</v>
      </c>
      <c r="T68" s="14">
        <v>45699</v>
      </c>
      <c r="U68" s="14">
        <v>45726.999988425923</v>
      </c>
      <c r="V68">
        <v>-29963.67</v>
      </c>
      <c r="W68">
        <v>-29969.42</v>
      </c>
    </row>
    <row r="69" spans="10:23" x14ac:dyDescent="0.25">
      <c r="J69" t="s">
        <v>290</v>
      </c>
      <c r="K69" t="s">
        <v>291</v>
      </c>
      <c r="R69" t="s">
        <v>102</v>
      </c>
      <c r="S69" s="14">
        <v>45698</v>
      </c>
      <c r="T69" s="14">
        <v>45671</v>
      </c>
      <c r="U69" s="14">
        <v>45698.999988425923</v>
      </c>
      <c r="V69">
        <v>-29822.57</v>
      </c>
      <c r="W69">
        <v>-29963.67</v>
      </c>
    </row>
    <row r="70" spans="10:23" x14ac:dyDescent="0.25">
      <c r="J70" t="s">
        <v>292</v>
      </c>
      <c r="K70" t="s">
        <v>293</v>
      </c>
      <c r="R70" t="s">
        <v>102</v>
      </c>
      <c r="S70" s="14">
        <v>45670</v>
      </c>
      <c r="T70" s="14">
        <v>45636</v>
      </c>
      <c r="U70" s="14">
        <v>45670.999988425923</v>
      </c>
      <c r="V70">
        <v>-29815.439999999999</v>
      </c>
      <c r="W70">
        <v>-29822.57</v>
      </c>
    </row>
    <row r="71" spans="10:23" x14ac:dyDescent="0.25">
      <c r="J71" t="s">
        <v>294</v>
      </c>
      <c r="K71" t="s">
        <v>295</v>
      </c>
      <c r="R71" t="s">
        <v>102</v>
      </c>
      <c r="S71" s="14">
        <v>45635</v>
      </c>
      <c r="T71" s="14">
        <v>45604</v>
      </c>
      <c r="U71" s="14">
        <v>45635.999988425923</v>
      </c>
      <c r="V71">
        <v>-29808.92</v>
      </c>
      <c r="W71">
        <v>-29815.439999999999</v>
      </c>
    </row>
    <row r="72" spans="10:23" x14ac:dyDescent="0.25">
      <c r="J72" t="s">
        <v>296</v>
      </c>
      <c r="K72" t="s">
        <v>297</v>
      </c>
      <c r="R72" t="s">
        <v>116</v>
      </c>
      <c r="S72" s="14">
        <v>46081</v>
      </c>
      <c r="T72" s="14">
        <v>46054</v>
      </c>
      <c r="U72" s="14">
        <v>46081.999988425923</v>
      </c>
      <c r="V72">
        <v>-178</v>
      </c>
      <c r="W72">
        <v>-178</v>
      </c>
    </row>
    <row r="73" spans="10:23" x14ac:dyDescent="0.25">
      <c r="J73" t="s">
        <v>298</v>
      </c>
      <c r="K73" t="s">
        <v>299</v>
      </c>
      <c r="R73" t="s">
        <v>116</v>
      </c>
      <c r="S73" s="14">
        <v>46053</v>
      </c>
      <c r="T73" s="14">
        <v>46023</v>
      </c>
      <c r="U73" s="14">
        <v>46053.999988425923</v>
      </c>
      <c r="V73">
        <v>-178</v>
      </c>
      <c r="W73">
        <v>-178</v>
      </c>
    </row>
    <row r="74" spans="10:23" x14ac:dyDescent="0.25">
      <c r="J74" t="s">
        <v>300</v>
      </c>
      <c r="K74" t="s">
        <v>301</v>
      </c>
      <c r="R74" t="s">
        <v>116</v>
      </c>
      <c r="S74" s="14">
        <v>46022</v>
      </c>
      <c r="T74" s="14">
        <v>45992</v>
      </c>
      <c r="U74" s="14">
        <v>46022.999988425923</v>
      </c>
      <c r="V74">
        <v>-203</v>
      </c>
      <c r="W74">
        <v>-178</v>
      </c>
    </row>
    <row r="75" spans="10:23" x14ac:dyDescent="0.25">
      <c r="J75" t="s">
        <v>302</v>
      </c>
      <c r="K75" t="s">
        <v>303</v>
      </c>
      <c r="R75" t="s">
        <v>116</v>
      </c>
      <c r="S75" s="14">
        <v>45991</v>
      </c>
      <c r="T75" s="14">
        <v>45962</v>
      </c>
      <c r="U75" s="14">
        <v>45991.999988425923</v>
      </c>
      <c r="V75">
        <v>-203</v>
      </c>
      <c r="W75">
        <v>-203</v>
      </c>
    </row>
    <row r="76" spans="10:23" x14ac:dyDescent="0.25">
      <c r="J76" t="s">
        <v>304</v>
      </c>
      <c r="K76" t="s">
        <v>305</v>
      </c>
      <c r="R76" t="s">
        <v>116</v>
      </c>
      <c r="S76" s="14">
        <v>45961</v>
      </c>
      <c r="T76" s="14">
        <v>45931</v>
      </c>
      <c r="U76" s="14">
        <v>45961.999988425923</v>
      </c>
      <c r="V76">
        <v>-263</v>
      </c>
      <c r="W76">
        <v>-203</v>
      </c>
    </row>
    <row r="77" spans="10:23" x14ac:dyDescent="0.25">
      <c r="J77" t="s">
        <v>1104</v>
      </c>
      <c r="K77" t="s">
        <v>1105</v>
      </c>
      <c r="R77" t="s">
        <v>116</v>
      </c>
      <c r="S77" s="14">
        <v>45930</v>
      </c>
      <c r="T77" s="14">
        <v>45901</v>
      </c>
      <c r="U77" s="14">
        <v>45930.999988425923</v>
      </c>
      <c r="V77">
        <v>-263</v>
      </c>
      <c r="W77">
        <v>-263</v>
      </c>
    </row>
    <row r="78" spans="10:23" x14ac:dyDescent="0.25">
      <c r="J78" t="s">
        <v>306</v>
      </c>
      <c r="K78" t="s">
        <v>307</v>
      </c>
      <c r="R78" t="s">
        <v>116</v>
      </c>
      <c r="S78" s="14">
        <v>45900</v>
      </c>
      <c r="T78" s="14">
        <v>45870</v>
      </c>
      <c r="U78" s="14">
        <v>45900.999988425923</v>
      </c>
      <c r="V78">
        <v>-263</v>
      </c>
      <c r="W78">
        <v>-263</v>
      </c>
    </row>
    <row r="79" spans="10:23" x14ac:dyDescent="0.25">
      <c r="J79" t="s">
        <v>308</v>
      </c>
      <c r="K79" t="s">
        <v>309</v>
      </c>
      <c r="R79" t="s">
        <v>116</v>
      </c>
      <c r="S79" s="14">
        <v>45869</v>
      </c>
      <c r="T79" s="14">
        <v>45839</v>
      </c>
      <c r="U79" s="14">
        <v>45869.999988425923</v>
      </c>
      <c r="V79">
        <v>-33</v>
      </c>
      <c r="W79">
        <v>-263</v>
      </c>
    </row>
    <row r="80" spans="10:23" x14ac:dyDescent="0.25">
      <c r="J80" t="s">
        <v>310</v>
      </c>
      <c r="K80" t="s">
        <v>311</v>
      </c>
      <c r="R80" t="s">
        <v>116</v>
      </c>
      <c r="S80" s="14">
        <v>45838</v>
      </c>
      <c r="T80" s="14">
        <v>45809</v>
      </c>
      <c r="U80" s="14">
        <v>45838.999988425923</v>
      </c>
      <c r="V80">
        <v>-43</v>
      </c>
      <c r="W80">
        <v>-33</v>
      </c>
    </row>
    <row r="81" spans="10:23" x14ac:dyDescent="0.25">
      <c r="J81" t="s">
        <v>312</v>
      </c>
      <c r="K81" t="s">
        <v>313</v>
      </c>
      <c r="R81" t="s">
        <v>116</v>
      </c>
      <c r="S81" s="14">
        <v>45808</v>
      </c>
      <c r="T81" s="14">
        <v>45778</v>
      </c>
      <c r="U81" s="14">
        <v>45808.999988425923</v>
      </c>
      <c r="V81">
        <v>-13</v>
      </c>
      <c r="W81">
        <v>-43</v>
      </c>
    </row>
    <row r="82" spans="10:23" x14ac:dyDescent="0.25">
      <c r="J82" t="s">
        <v>314</v>
      </c>
      <c r="K82" t="s">
        <v>315</v>
      </c>
      <c r="R82" t="s">
        <v>116</v>
      </c>
      <c r="S82" s="14">
        <v>45777</v>
      </c>
      <c r="T82" s="14">
        <v>45748</v>
      </c>
      <c r="U82" s="14">
        <v>45777.999988425923</v>
      </c>
      <c r="V82">
        <v>-29</v>
      </c>
      <c r="W82">
        <v>-13</v>
      </c>
    </row>
    <row r="83" spans="10:23" x14ac:dyDescent="0.25">
      <c r="J83" t="s">
        <v>316</v>
      </c>
      <c r="K83" t="s">
        <v>317</v>
      </c>
      <c r="R83" t="s">
        <v>116</v>
      </c>
      <c r="S83" s="14">
        <v>45747</v>
      </c>
      <c r="T83" s="14">
        <v>45717</v>
      </c>
      <c r="U83" s="14">
        <v>45747.999988425923</v>
      </c>
      <c r="V83">
        <v>0</v>
      </c>
      <c r="W83">
        <v>-29</v>
      </c>
    </row>
    <row r="84" spans="10:23" x14ac:dyDescent="0.25">
      <c r="J84" t="s">
        <v>318</v>
      </c>
      <c r="K84" t="s">
        <v>319</v>
      </c>
      <c r="R84" t="s">
        <v>116</v>
      </c>
      <c r="S84" s="14">
        <v>45716</v>
      </c>
      <c r="T84" s="14">
        <v>45689</v>
      </c>
      <c r="U84" s="14">
        <v>45716.999988425923</v>
      </c>
      <c r="V84">
        <v>0</v>
      </c>
      <c r="W84">
        <v>0</v>
      </c>
    </row>
    <row r="85" spans="10:23" x14ac:dyDescent="0.25">
      <c r="J85" t="s">
        <v>320</v>
      </c>
      <c r="K85" t="s">
        <v>321</v>
      </c>
      <c r="R85" t="s">
        <v>116</v>
      </c>
      <c r="S85" s="14">
        <v>45688</v>
      </c>
      <c r="T85" s="14">
        <v>45658</v>
      </c>
      <c r="U85" s="14">
        <v>45688.999988425923</v>
      </c>
      <c r="V85">
        <v>0</v>
      </c>
      <c r="W85">
        <v>0</v>
      </c>
    </row>
    <row r="86" spans="10:23" x14ac:dyDescent="0.25">
      <c r="J86" t="s">
        <v>322</v>
      </c>
      <c r="K86" t="s">
        <v>323</v>
      </c>
      <c r="R86" t="s">
        <v>116</v>
      </c>
      <c r="S86" s="14">
        <v>45657</v>
      </c>
      <c r="T86" s="14">
        <v>45627</v>
      </c>
      <c r="U86" s="14">
        <v>45657.999988425923</v>
      </c>
      <c r="V86">
        <v>0</v>
      </c>
      <c r="W86">
        <v>0</v>
      </c>
    </row>
    <row r="87" spans="10:23" x14ac:dyDescent="0.25">
      <c r="J87" t="s">
        <v>324</v>
      </c>
      <c r="K87" t="s">
        <v>325</v>
      </c>
      <c r="R87" t="s">
        <v>122</v>
      </c>
      <c r="S87" s="14">
        <v>46142</v>
      </c>
      <c r="T87" s="14">
        <v>46113</v>
      </c>
      <c r="U87" s="14">
        <v>46142.999988425923</v>
      </c>
      <c r="V87">
        <v>0</v>
      </c>
      <c r="W87">
        <v>0</v>
      </c>
    </row>
    <row r="88" spans="10:23" x14ac:dyDescent="0.25">
      <c r="J88" t="s">
        <v>326</v>
      </c>
      <c r="K88" t="s">
        <v>327</v>
      </c>
      <c r="R88" t="s">
        <v>122</v>
      </c>
      <c r="S88" s="14">
        <v>46081</v>
      </c>
      <c r="T88" s="14">
        <v>46054</v>
      </c>
      <c r="U88" s="14">
        <v>46081.999988425923</v>
      </c>
      <c r="V88">
        <v>0</v>
      </c>
      <c r="W88">
        <v>0</v>
      </c>
    </row>
    <row r="89" spans="10:23" x14ac:dyDescent="0.25">
      <c r="J89" t="s">
        <v>328</v>
      </c>
      <c r="K89" t="s">
        <v>329</v>
      </c>
      <c r="R89" t="s">
        <v>122</v>
      </c>
      <c r="S89" s="14">
        <v>46053</v>
      </c>
      <c r="T89" s="14">
        <v>46023</v>
      </c>
      <c r="U89" s="14">
        <v>46053.999988425923</v>
      </c>
      <c r="V89">
        <v>-30.52</v>
      </c>
      <c r="W89">
        <v>0</v>
      </c>
    </row>
    <row r="90" spans="10:23" x14ac:dyDescent="0.25">
      <c r="J90" t="s">
        <v>330</v>
      </c>
      <c r="K90" t="s">
        <v>331</v>
      </c>
      <c r="R90" t="s">
        <v>122</v>
      </c>
      <c r="S90" s="14">
        <v>46022</v>
      </c>
      <c r="T90" s="14">
        <v>45992</v>
      </c>
      <c r="U90" s="14">
        <v>46022.999988425923</v>
      </c>
      <c r="V90">
        <v>-100</v>
      </c>
      <c r="W90">
        <v>-30.52</v>
      </c>
    </row>
    <row r="91" spans="10:23" x14ac:dyDescent="0.25">
      <c r="J91" t="s">
        <v>332</v>
      </c>
      <c r="K91" t="s">
        <v>333</v>
      </c>
      <c r="R91" t="s">
        <v>122</v>
      </c>
      <c r="S91" s="14">
        <v>45991</v>
      </c>
      <c r="T91" s="14">
        <v>45962</v>
      </c>
      <c r="U91" s="14">
        <v>45991.999988425923</v>
      </c>
      <c r="V91">
        <v>-624.82000000000005</v>
      </c>
      <c r="W91">
        <v>-100</v>
      </c>
    </row>
    <row r="92" spans="10:23" x14ac:dyDescent="0.25">
      <c r="J92" t="s">
        <v>334</v>
      </c>
      <c r="K92" t="s">
        <v>335</v>
      </c>
      <c r="R92" t="s">
        <v>122</v>
      </c>
      <c r="S92" s="14">
        <v>45961</v>
      </c>
      <c r="T92" s="14">
        <v>45931</v>
      </c>
      <c r="U92" s="14">
        <v>45961.999988425923</v>
      </c>
      <c r="V92">
        <v>-606.77</v>
      </c>
      <c r="W92">
        <v>-624.82000000000005</v>
      </c>
    </row>
    <row r="93" spans="10:23" x14ac:dyDescent="0.25">
      <c r="J93" t="s">
        <v>336</v>
      </c>
      <c r="K93" t="s">
        <v>337</v>
      </c>
      <c r="R93" t="s">
        <v>122</v>
      </c>
      <c r="S93" s="14">
        <v>45930</v>
      </c>
      <c r="T93" s="14">
        <v>45901</v>
      </c>
      <c r="U93" s="14">
        <v>45930.999988425923</v>
      </c>
      <c r="V93">
        <v>-342.98</v>
      </c>
      <c r="W93">
        <v>-606.77</v>
      </c>
    </row>
    <row r="94" spans="10:23" x14ac:dyDescent="0.25">
      <c r="J94" t="s">
        <v>338</v>
      </c>
      <c r="K94" t="s">
        <v>339</v>
      </c>
      <c r="R94" t="s">
        <v>122</v>
      </c>
      <c r="S94" s="14">
        <v>45900</v>
      </c>
      <c r="T94" s="14">
        <v>45870</v>
      </c>
      <c r="U94" s="14">
        <v>45900.999988425923</v>
      </c>
      <c r="V94">
        <v>-200</v>
      </c>
      <c r="W94">
        <v>-342.98</v>
      </c>
    </row>
    <row r="95" spans="10:23" x14ac:dyDescent="0.25">
      <c r="J95" t="s">
        <v>340</v>
      </c>
      <c r="K95" t="s">
        <v>341</v>
      </c>
      <c r="R95" t="s">
        <v>122</v>
      </c>
      <c r="S95" s="14">
        <v>45869</v>
      </c>
      <c r="T95" s="14">
        <v>45839</v>
      </c>
      <c r="U95" s="14">
        <v>45869.999988425923</v>
      </c>
      <c r="V95">
        <v>-898.78</v>
      </c>
      <c r="W95">
        <v>-200</v>
      </c>
    </row>
    <row r="96" spans="10:23" x14ac:dyDescent="0.25">
      <c r="J96" t="s">
        <v>342</v>
      </c>
      <c r="K96" t="s">
        <v>343</v>
      </c>
      <c r="R96" t="s">
        <v>122</v>
      </c>
      <c r="S96" s="14">
        <v>45838</v>
      </c>
      <c r="T96" s="14">
        <v>45809</v>
      </c>
      <c r="U96" s="14">
        <v>45838.999988425923</v>
      </c>
      <c r="V96">
        <v>-696.34</v>
      </c>
      <c r="W96">
        <v>-898.78</v>
      </c>
    </row>
    <row r="97" spans="10:23" x14ac:dyDescent="0.25">
      <c r="J97" t="s">
        <v>344</v>
      </c>
      <c r="K97" t="s">
        <v>345</v>
      </c>
      <c r="R97" t="s">
        <v>122</v>
      </c>
      <c r="S97" s="14">
        <v>45808</v>
      </c>
      <c r="T97" s="14">
        <v>45778</v>
      </c>
      <c r="U97" s="14">
        <v>45808.999988425923</v>
      </c>
      <c r="V97">
        <v>-958.7</v>
      </c>
      <c r="W97">
        <v>-696.34</v>
      </c>
    </row>
    <row r="98" spans="10:23" x14ac:dyDescent="0.25">
      <c r="J98" t="s">
        <v>346</v>
      </c>
      <c r="K98" t="s">
        <v>347</v>
      </c>
      <c r="R98" t="s">
        <v>122</v>
      </c>
      <c r="S98" s="14">
        <v>45777</v>
      </c>
      <c r="T98" s="14">
        <v>45748</v>
      </c>
      <c r="U98" s="14">
        <v>45777.999988425923</v>
      </c>
      <c r="V98">
        <v>-695.72</v>
      </c>
      <c r="W98">
        <v>-958.7</v>
      </c>
    </row>
    <row r="99" spans="10:23" x14ac:dyDescent="0.25">
      <c r="J99" t="s">
        <v>348</v>
      </c>
      <c r="K99" t="s">
        <v>349</v>
      </c>
      <c r="R99" t="s">
        <v>122</v>
      </c>
      <c r="S99" s="14">
        <v>45747</v>
      </c>
      <c r="T99" s="14">
        <v>45717</v>
      </c>
      <c r="U99" s="14">
        <v>45747.999988425923</v>
      </c>
      <c r="V99">
        <v>-650.36</v>
      </c>
      <c r="W99">
        <v>-695.72</v>
      </c>
    </row>
    <row r="100" spans="10:23" x14ac:dyDescent="0.25">
      <c r="J100" t="s">
        <v>350</v>
      </c>
      <c r="K100" t="s">
        <v>351</v>
      </c>
      <c r="R100" t="s">
        <v>122</v>
      </c>
      <c r="S100" s="14">
        <v>45716</v>
      </c>
      <c r="T100" s="14">
        <v>45689</v>
      </c>
      <c r="U100" s="14">
        <v>45716.999988425923</v>
      </c>
      <c r="V100">
        <v>-532.82000000000005</v>
      </c>
      <c r="W100">
        <v>-650.36</v>
      </c>
    </row>
    <row r="101" spans="10:23" x14ac:dyDescent="0.25">
      <c r="J101" t="s">
        <v>352</v>
      </c>
      <c r="K101" t="s">
        <v>353</v>
      </c>
      <c r="R101" t="s">
        <v>122</v>
      </c>
      <c r="S101" s="14">
        <v>45688</v>
      </c>
      <c r="T101" s="14">
        <v>45658</v>
      </c>
      <c r="U101" s="14">
        <v>45688.999988425923</v>
      </c>
      <c r="V101">
        <v>-151.07</v>
      </c>
      <c r="W101">
        <v>-532.82000000000005</v>
      </c>
    </row>
    <row r="102" spans="10:23" x14ac:dyDescent="0.25">
      <c r="J102" t="s">
        <v>354</v>
      </c>
      <c r="K102" t="s">
        <v>355</v>
      </c>
      <c r="R102" t="s">
        <v>1052</v>
      </c>
      <c r="S102" s="14">
        <v>46070</v>
      </c>
      <c r="T102" s="14">
        <v>46039</v>
      </c>
      <c r="U102" s="14">
        <v>46070.999988425923</v>
      </c>
      <c r="V102">
        <v>-20000</v>
      </c>
      <c r="W102">
        <v>0</v>
      </c>
    </row>
    <row r="103" spans="10:23" x14ac:dyDescent="0.25">
      <c r="J103" t="s">
        <v>1106</v>
      </c>
      <c r="K103" t="s">
        <v>1107</v>
      </c>
      <c r="R103" t="s">
        <v>1052</v>
      </c>
      <c r="S103" s="14">
        <v>46038</v>
      </c>
      <c r="T103" s="14">
        <v>46008</v>
      </c>
      <c r="U103" s="14">
        <v>46038.999988425923</v>
      </c>
      <c r="V103">
        <v>-20000</v>
      </c>
      <c r="W103">
        <v>-20000</v>
      </c>
    </row>
    <row r="104" spans="10:23" x14ac:dyDescent="0.25">
      <c r="J104" t="s">
        <v>356</v>
      </c>
      <c r="K104" t="s">
        <v>357</v>
      </c>
      <c r="R104" t="s">
        <v>1052</v>
      </c>
      <c r="S104" s="14">
        <v>46007</v>
      </c>
      <c r="T104" s="14">
        <v>45979</v>
      </c>
      <c r="U104" s="14">
        <v>46007.999988425923</v>
      </c>
      <c r="V104">
        <v>-20000</v>
      </c>
      <c r="W104">
        <v>-20000</v>
      </c>
    </row>
    <row r="105" spans="10:23" x14ac:dyDescent="0.25">
      <c r="J105" t="s">
        <v>358</v>
      </c>
      <c r="K105" t="s">
        <v>359</v>
      </c>
      <c r="R105" t="s">
        <v>1052</v>
      </c>
      <c r="S105" s="14">
        <v>45978</v>
      </c>
      <c r="T105" s="14">
        <v>45947</v>
      </c>
      <c r="U105" s="14">
        <v>45978.999988425923</v>
      </c>
      <c r="V105">
        <v>-20000</v>
      </c>
      <c r="W105">
        <v>-20000</v>
      </c>
    </row>
    <row r="106" spans="10:23" x14ac:dyDescent="0.25">
      <c r="J106" t="s">
        <v>360</v>
      </c>
      <c r="K106" t="s">
        <v>361</v>
      </c>
      <c r="R106" t="s">
        <v>1052</v>
      </c>
      <c r="S106" s="14">
        <v>45946</v>
      </c>
      <c r="T106" s="14">
        <v>45917</v>
      </c>
      <c r="U106" s="14">
        <v>45946.999988425923</v>
      </c>
      <c r="V106">
        <v>-20000</v>
      </c>
      <c r="W106">
        <v>-20000</v>
      </c>
    </row>
    <row r="107" spans="10:23" x14ac:dyDescent="0.25">
      <c r="J107" t="s">
        <v>362</v>
      </c>
      <c r="K107" t="s">
        <v>363</v>
      </c>
      <c r="R107" t="s">
        <v>1052</v>
      </c>
      <c r="S107" s="14">
        <v>45916</v>
      </c>
      <c r="T107" s="14">
        <v>45885</v>
      </c>
      <c r="U107" s="14">
        <v>45916.999988425923</v>
      </c>
      <c r="V107">
        <v>-20000</v>
      </c>
      <c r="W107">
        <v>-20000</v>
      </c>
    </row>
    <row r="108" spans="10:23" x14ac:dyDescent="0.25">
      <c r="J108" t="s">
        <v>1085</v>
      </c>
      <c r="K108" t="s">
        <v>1086</v>
      </c>
      <c r="R108" t="s">
        <v>1052</v>
      </c>
      <c r="S108" s="14">
        <v>45884</v>
      </c>
      <c r="T108" s="14">
        <v>45855</v>
      </c>
      <c r="U108" s="14">
        <v>45884.999988425923</v>
      </c>
      <c r="V108">
        <v>-20000</v>
      </c>
      <c r="W108">
        <v>-20000</v>
      </c>
    </row>
    <row r="109" spans="10:23" x14ac:dyDescent="0.25">
      <c r="J109" t="s">
        <v>364</v>
      </c>
      <c r="K109" t="s">
        <v>365</v>
      </c>
      <c r="R109" t="s">
        <v>1052</v>
      </c>
      <c r="S109" s="14">
        <v>45854</v>
      </c>
      <c r="T109" s="14">
        <v>45854</v>
      </c>
      <c r="U109" s="14">
        <v>45854.999988425923</v>
      </c>
      <c r="V109">
        <v>0</v>
      </c>
      <c r="W109">
        <v>-20000</v>
      </c>
    </row>
    <row r="110" spans="10:23" x14ac:dyDescent="0.25">
      <c r="J110" t="s">
        <v>366</v>
      </c>
      <c r="K110" t="s">
        <v>367</v>
      </c>
      <c r="R110" t="s">
        <v>127</v>
      </c>
      <c r="S110" s="14">
        <v>46142</v>
      </c>
      <c r="T110" s="14">
        <v>46113</v>
      </c>
      <c r="U110" s="14">
        <v>46142.999988425923</v>
      </c>
      <c r="V110">
        <v>-2990.79</v>
      </c>
      <c r="W110">
        <v>-664.46</v>
      </c>
    </row>
    <row r="111" spans="10:23" x14ac:dyDescent="0.25">
      <c r="J111" t="s">
        <v>368</v>
      </c>
      <c r="K111" t="s">
        <v>369</v>
      </c>
      <c r="R111" t="s">
        <v>127</v>
      </c>
      <c r="S111" s="14">
        <v>46112</v>
      </c>
      <c r="T111" s="14">
        <v>46082</v>
      </c>
      <c r="U111" s="14">
        <v>46112.999988425923</v>
      </c>
      <c r="V111">
        <v>-950.93</v>
      </c>
      <c r="W111">
        <v>-2990.79</v>
      </c>
    </row>
    <row r="112" spans="10:23" x14ac:dyDescent="0.25">
      <c r="J112" t="s">
        <v>370</v>
      </c>
      <c r="K112" t="s">
        <v>371</v>
      </c>
      <c r="R112" t="s">
        <v>127</v>
      </c>
      <c r="S112" s="14">
        <v>46081</v>
      </c>
      <c r="T112" s="14">
        <v>46054</v>
      </c>
      <c r="U112" s="14">
        <v>46081.999988425923</v>
      </c>
      <c r="V112">
        <v>-833.17</v>
      </c>
      <c r="W112">
        <v>-950.93</v>
      </c>
    </row>
    <row r="113" spans="10:23" x14ac:dyDescent="0.25">
      <c r="J113" t="s">
        <v>1108</v>
      </c>
      <c r="K113" t="s">
        <v>1109</v>
      </c>
      <c r="R113" t="s">
        <v>127</v>
      </c>
      <c r="S113" s="14">
        <v>46053</v>
      </c>
      <c r="T113" s="14">
        <v>46023</v>
      </c>
      <c r="U113" s="14">
        <v>46053.999988425923</v>
      </c>
      <c r="V113">
        <v>-734.18</v>
      </c>
      <c r="W113">
        <v>-833.17</v>
      </c>
    </row>
    <row r="114" spans="10:23" x14ac:dyDescent="0.25">
      <c r="J114" t="s">
        <v>372</v>
      </c>
      <c r="K114" t="s">
        <v>373</v>
      </c>
      <c r="R114" t="s">
        <v>127</v>
      </c>
      <c r="S114" s="14">
        <v>46022</v>
      </c>
      <c r="T114" s="14">
        <v>45992</v>
      </c>
      <c r="U114" s="14">
        <v>46022.999988425923</v>
      </c>
      <c r="V114">
        <v>-1204.01</v>
      </c>
      <c r="W114">
        <v>-734.18</v>
      </c>
    </row>
    <row r="115" spans="10:23" x14ac:dyDescent="0.25">
      <c r="J115" t="s">
        <v>374</v>
      </c>
      <c r="K115" t="s">
        <v>375</v>
      </c>
      <c r="R115" t="s">
        <v>127</v>
      </c>
      <c r="S115" s="14">
        <v>45991</v>
      </c>
      <c r="T115" s="14">
        <v>45962</v>
      </c>
      <c r="U115" s="14">
        <v>45991.999988425923</v>
      </c>
      <c r="V115">
        <v>-615.15</v>
      </c>
      <c r="W115">
        <v>-1204.01</v>
      </c>
    </row>
    <row r="116" spans="10:23" x14ac:dyDescent="0.25">
      <c r="J116" t="s">
        <v>376</v>
      </c>
      <c r="K116" t="s">
        <v>377</v>
      </c>
      <c r="R116" t="s">
        <v>127</v>
      </c>
      <c r="S116" s="14">
        <v>45961</v>
      </c>
      <c r="T116" s="14">
        <v>45931</v>
      </c>
      <c r="U116" s="14">
        <v>45961.999988425923</v>
      </c>
      <c r="V116">
        <v>-719.91</v>
      </c>
      <c r="W116">
        <v>-615.15</v>
      </c>
    </row>
    <row r="117" spans="10:23" x14ac:dyDescent="0.25">
      <c r="J117" t="s">
        <v>378</v>
      </c>
      <c r="K117" t="s">
        <v>379</v>
      </c>
      <c r="R117" t="s">
        <v>127</v>
      </c>
      <c r="S117" s="14">
        <v>45930</v>
      </c>
      <c r="T117" s="14">
        <v>45901</v>
      </c>
      <c r="U117" s="14">
        <v>45930.999988425923</v>
      </c>
      <c r="V117">
        <v>-1400.02</v>
      </c>
      <c r="W117">
        <v>-719.91</v>
      </c>
    </row>
    <row r="118" spans="10:23" x14ac:dyDescent="0.25">
      <c r="J118" t="s">
        <v>380</v>
      </c>
      <c r="K118" t="s">
        <v>381</v>
      </c>
      <c r="R118" t="s">
        <v>127</v>
      </c>
      <c r="S118" s="14">
        <v>45900</v>
      </c>
      <c r="T118" s="14">
        <v>45870</v>
      </c>
      <c r="U118" s="14">
        <v>45900.999988425923</v>
      </c>
      <c r="V118">
        <v>-1610.69</v>
      </c>
      <c r="W118">
        <v>-1400.02</v>
      </c>
    </row>
    <row r="119" spans="10:23" x14ac:dyDescent="0.25">
      <c r="J119" t="s">
        <v>382</v>
      </c>
      <c r="K119" t="s">
        <v>383</v>
      </c>
      <c r="R119" t="s">
        <v>127</v>
      </c>
      <c r="S119" s="14">
        <v>45869</v>
      </c>
      <c r="T119" s="14">
        <v>45839</v>
      </c>
      <c r="U119" s="14">
        <v>45869.999988425923</v>
      </c>
      <c r="V119">
        <v>-300.25</v>
      </c>
      <c r="W119">
        <v>-1610.69</v>
      </c>
    </row>
    <row r="120" spans="10:23" x14ac:dyDescent="0.25">
      <c r="J120" t="s">
        <v>384</v>
      </c>
      <c r="K120" t="s">
        <v>385</v>
      </c>
      <c r="R120" t="s">
        <v>127</v>
      </c>
      <c r="S120" s="14">
        <v>45838</v>
      </c>
      <c r="T120" s="14">
        <v>45809</v>
      </c>
      <c r="U120" s="14">
        <v>45838.999988425923</v>
      </c>
      <c r="V120">
        <v>-128.44999999999999</v>
      </c>
      <c r="W120">
        <v>-300.25</v>
      </c>
    </row>
    <row r="121" spans="10:23" x14ac:dyDescent="0.25">
      <c r="J121" t="s">
        <v>386</v>
      </c>
      <c r="K121" t="s">
        <v>387</v>
      </c>
      <c r="R121" t="s">
        <v>127</v>
      </c>
      <c r="S121" s="14">
        <v>45808</v>
      </c>
      <c r="T121" s="14">
        <v>45778</v>
      </c>
      <c r="U121" s="14">
        <v>45808.999988425923</v>
      </c>
      <c r="V121">
        <v>-453.72</v>
      </c>
      <c r="W121">
        <v>-128.44999999999999</v>
      </c>
    </row>
    <row r="122" spans="10:23" x14ac:dyDescent="0.25">
      <c r="J122" t="s">
        <v>388</v>
      </c>
      <c r="K122" t="s">
        <v>389</v>
      </c>
      <c r="R122" t="s">
        <v>127</v>
      </c>
      <c r="S122" s="14">
        <v>45777</v>
      </c>
      <c r="T122" s="14">
        <v>45748</v>
      </c>
      <c r="U122" s="14">
        <v>45777.999988425923</v>
      </c>
      <c r="V122">
        <v>-384.65</v>
      </c>
      <c r="W122">
        <v>-453.72</v>
      </c>
    </row>
    <row r="123" spans="10:23" x14ac:dyDescent="0.25">
      <c r="J123" t="s">
        <v>390</v>
      </c>
      <c r="K123" t="s">
        <v>391</v>
      </c>
      <c r="R123" t="s">
        <v>127</v>
      </c>
      <c r="S123" s="14">
        <v>45747</v>
      </c>
      <c r="T123" s="14">
        <v>45717</v>
      </c>
      <c r="U123" s="14">
        <v>45747.999988425923</v>
      </c>
      <c r="V123">
        <v>-826.49</v>
      </c>
      <c r="W123">
        <v>-384.65</v>
      </c>
    </row>
    <row r="124" spans="10:23" x14ac:dyDescent="0.25">
      <c r="J124" t="s">
        <v>392</v>
      </c>
      <c r="K124" t="s">
        <v>393</v>
      </c>
      <c r="R124" t="s">
        <v>127</v>
      </c>
      <c r="S124" s="14">
        <v>45716</v>
      </c>
      <c r="T124" s="14">
        <v>45689</v>
      </c>
      <c r="U124" s="14">
        <v>45716.999988425923</v>
      </c>
      <c r="V124">
        <v>-835.1</v>
      </c>
      <c r="W124">
        <v>-826.49</v>
      </c>
    </row>
    <row r="125" spans="10:23" x14ac:dyDescent="0.25">
      <c r="J125" t="s">
        <v>394</v>
      </c>
      <c r="K125" t="s">
        <v>395</v>
      </c>
      <c r="R125" t="s">
        <v>127</v>
      </c>
      <c r="S125" s="14">
        <v>45688</v>
      </c>
      <c r="T125" s="14">
        <v>45658</v>
      </c>
      <c r="U125" s="14">
        <v>45688.999988425923</v>
      </c>
      <c r="V125">
        <v>-989.58</v>
      </c>
      <c r="W125">
        <v>-835.1</v>
      </c>
    </row>
    <row r="126" spans="10:23" x14ac:dyDescent="0.25">
      <c r="J126" t="s">
        <v>396</v>
      </c>
      <c r="K126" t="s">
        <v>397</v>
      </c>
      <c r="R126" t="s">
        <v>127</v>
      </c>
      <c r="S126" s="14">
        <v>45657</v>
      </c>
      <c r="T126" s="14">
        <v>45627</v>
      </c>
      <c r="U126" s="14">
        <v>45657.999988425923</v>
      </c>
      <c r="V126">
        <v>-395.46</v>
      </c>
      <c r="W126">
        <v>-989.58</v>
      </c>
    </row>
    <row r="127" spans="10:23" x14ac:dyDescent="0.25">
      <c r="J127" t="s">
        <v>398</v>
      </c>
      <c r="K127" t="s">
        <v>399</v>
      </c>
      <c r="R127" t="s">
        <v>139</v>
      </c>
      <c r="S127" s="14">
        <v>46129</v>
      </c>
      <c r="T127" s="14">
        <v>46101</v>
      </c>
      <c r="U127" s="14">
        <v>46129.999988425923</v>
      </c>
      <c r="V127">
        <v>1238.0999999999999</v>
      </c>
      <c r="W127">
        <v>1610.49</v>
      </c>
    </row>
    <row r="128" spans="10:23" x14ac:dyDescent="0.25">
      <c r="J128" t="s">
        <v>400</v>
      </c>
      <c r="K128" t="s">
        <v>401</v>
      </c>
      <c r="R128" t="s">
        <v>139</v>
      </c>
      <c r="S128" s="14">
        <v>46100</v>
      </c>
      <c r="T128" s="14">
        <v>46070</v>
      </c>
      <c r="U128" s="14">
        <v>46100.999988425923</v>
      </c>
      <c r="V128">
        <v>350.36</v>
      </c>
      <c r="W128">
        <v>1238.0999999999999</v>
      </c>
    </row>
    <row r="129" spans="10:23" x14ac:dyDescent="0.25">
      <c r="J129" t="s">
        <v>402</v>
      </c>
      <c r="K129" t="s">
        <v>403</v>
      </c>
      <c r="R129" t="s">
        <v>139</v>
      </c>
      <c r="S129" s="14">
        <v>46069</v>
      </c>
      <c r="T129" s="14">
        <v>46042</v>
      </c>
      <c r="U129" s="14">
        <v>46069.999988425923</v>
      </c>
      <c r="V129">
        <v>3261.3</v>
      </c>
      <c r="W129">
        <v>350.36</v>
      </c>
    </row>
    <row r="130" spans="10:23" x14ac:dyDescent="0.25">
      <c r="J130" t="s">
        <v>404</v>
      </c>
      <c r="K130" t="s">
        <v>405</v>
      </c>
      <c r="R130" t="s">
        <v>139</v>
      </c>
      <c r="S130" s="14">
        <v>46041</v>
      </c>
      <c r="T130" s="14">
        <v>46011</v>
      </c>
      <c r="U130" s="14">
        <v>46041.999988425923</v>
      </c>
      <c r="V130">
        <v>1808.49</v>
      </c>
      <c r="W130">
        <v>3261.3</v>
      </c>
    </row>
    <row r="131" spans="10:23" x14ac:dyDescent="0.25">
      <c r="J131" t="s">
        <v>406</v>
      </c>
      <c r="K131" t="s">
        <v>407</v>
      </c>
      <c r="R131" t="s">
        <v>139</v>
      </c>
      <c r="S131" s="14">
        <v>46010</v>
      </c>
      <c r="T131" s="14">
        <v>45980</v>
      </c>
      <c r="U131" s="14">
        <v>46010.999988425923</v>
      </c>
      <c r="V131">
        <v>287.7</v>
      </c>
      <c r="W131">
        <v>1808.49</v>
      </c>
    </row>
    <row r="132" spans="10:23" x14ac:dyDescent="0.25">
      <c r="J132" t="s">
        <v>408</v>
      </c>
      <c r="K132" t="s">
        <v>409</v>
      </c>
      <c r="R132" t="s">
        <v>139</v>
      </c>
      <c r="S132" s="14">
        <v>45979</v>
      </c>
      <c r="T132" s="14">
        <v>45950</v>
      </c>
      <c r="U132" s="14">
        <v>45979.999988425923</v>
      </c>
      <c r="V132">
        <v>374.97</v>
      </c>
      <c r="W132">
        <v>287.7</v>
      </c>
    </row>
    <row r="133" spans="10:23" x14ac:dyDescent="0.25">
      <c r="J133" t="s">
        <v>410</v>
      </c>
      <c r="K133" t="s">
        <v>411</v>
      </c>
      <c r="R133" t="s">
        <v>139</v>
      </c>
      <c r="S133" s="14">
        <v>45949</v>
      </c>
      <c r="T133" s="14">
        <v>45919</v>
      </c>
      <c r="U133" s="14">
        <v>45949.999988425923</v>
      </c>
      <c r="V133">
        <v>1757.1</v>
      </c>
      <c r="W133">
        <v>374.97</v>
      </c>
    </row>
    <row r="134" spans="10:23" x14ac:dyDescent="0.25">
      <c r="J134" t="s">
        <v>412</v>
      </c>
      <c r="K134" t="s">
        <v>413</v>
      </c>
      <c r="R134" t="s">
        <v>139</v>
      </c>
      <c r="S134" s="14">
        <v>45918</v>
      </c>
      <c r="T134" s="14">
        <v>45889</v>
      </c>
      <c r="U134" s="14">
        <v>45918.999988425923</v>
      </c>
      <c r="V134">
        <v>85.63</v>
      </c>
      <c r="W134">
        <v>1757.1</v>
      </c>
    </row>
    <row r="135" spans="10:23" x14ac:dyDescent="0.25">
      <c r="J135" t="s">
        <v>1110</v>
      </c>
      <c r="K135" t="s">
        <v>1111</v>
      </c>
      <c r="R135" t="s">
        <v>139</v>
      </c>
      <c r="S135" s="14">
        <v>45888</v>
      </c>
      <c r="T135" s="14">
        <v>45857</v>
      </c>
      <c r="U135" s="14">
        <v>45888.999988425923</v>
      </c>
      <c r="V135">
        <v>1019.64</v>
      </c>
      <c r="W135">
        <v>85.63</v>
      </c>
    </row>
    <row r="136" spans="10:23" x14ac:dyDescent="0.25">
      <c r="J136" t="s">
        <v>414</v>
      </c>
      <c r="K136" t="s">
        <v>415</v>
      </c>
      <c r="R136" t="s">
        <v>139</v>
      </c>
      <c r="S136" s="14">
        <v>45856</v>
      </c>
      <c r="T136" s="14">
        <v>45827</v>
      </c>
      <c r="U136" s="14">
        <v>45856.999988425923</v>
      </c>
      <c r="V136">
        <v>364.38</v>
      </c>
      <c r="W136">
        <v>1019.64</v>
      </c>
    </row>
    <row r="137" spans="10:23" x14ac:dyDescent="0.25">
      <c r="J137" t="s">
        <v>416</v>
      </c>
      <c r="K137" t="s">
        <v>417</v>
      </c>
      <c r="R137" t="s">
        <v>139</v>
      </c>
      <c r="S137" s="14">
        <v>45826</v>
      </c>
      <c r="T137" s="14">
        <v>45797</v>
      </c>
      <c r="U137" s="14">
        <v>45826.999988425923</v>
      </c>
      <c r="V137">
        <v>1988.54</v>
      </c>
      <c r="W137">
        <v>364.38</v>
      </c>
    </row>
    <row r="138" spans="10:23" x14ac:dyDescent="0.25">
      <c r="J138" t="s">
        <v>418</v>
      </c>
      <c r="K138" t="s">
        <v>419</v>
      </c>
      <c r="R138" t="s">
        <v>139</v>
      </c>
      <c r="S138" s="14">
        <v>45796</v>
      </c>
      <c r="T138" s="14">
        <v>45766</v>
      </c>
      <c r="U138" s="14">
        <v>45796.999988425923</v>
      </c>
      <c r="V138">
        <v>2096.9499999999998</v>
      </c>
      <c r="W138">
        <v>1988.54</v>
      </c>
    </row>
    <row r="139" spans="10:23" x14ac:dyDescent="0.25">
      <c r="J139" t="s">
        <v>420</v>
      </c>
      <c r="K139" t="s">
        <v>421</v>
      </c>
      <c r="R139" t="s">
        <v>139</v>
      </c>
      <c r="S139" s="14">
        <v>45765</v>
      </c>
      <c r="T139" s="14">
        <v>45736</v>
      </c>
      <c r="U139" s="14">
        <v>45765.999988425923</v>
      </c>
      <c r="V139">
        <v>1634.16</v>
      </c>
      <c r="W139">
        <v>2096.9499999999998</v>
      </c>
    </row>
    <row r="140" spans="10:23" x14ac:dyDescent="0.25">
      <c r="J140" t="s">
        <v>422</v>
      </c>
      <c r="K140" t="s">
        <v>423</v>
      </c>
      <c r="R140" t="s">
        <v>139</v>
      </c>
      <c r="S140" s="14">
        <v>45735</v>
      </c>
      <c r="T140" s="14">
        <v>45705</v>
      </c>
      <c r="U140" s="14">
        <v>45735.999988425923</v>
      </c>
      <c r="V140">
        <v>-161.68</v>
      </c>
      <c r="W140">
        <v>1634.16</v>
      </c>
    </row>
    <row r="141" spans="10:23" x14ac:dyDescent="0.25">
      <c r="J141" t="s">
        <v>424</v>
      </c>
      <c r="K141" t="s">
        <v>425</v>
      </c>
      <c r="R141" t="s">
        <v>139</v>
      </c>
      <c r="S141" s="14">
        <v>45704</v>
      </c>
      <c r="T141" s="14">
        <v>45677</v>
      </c>
      <c r="U141" s="14">
        <v>45704.999988425923</v>
      </c>
      <c r="V141">
        <v>0</v>
      </c>
      <c r="W141">
        <v>-161.68</v>
      </c>
    </row>
    <row r="142" spans="10:23" x14ac:dyDescent="0.25">
      <c r="J142" t="s">
        <v>426</v>
      </c>
      <c r="K142" t="s">
        <v>427</v>
      </c>
      <c r="R142" t="s">
        <v>139</v>
      </c>
      <c r="S142" s="14">
        <v>45676</v>
      </c>
      <c r="T142" s="14">
        <v>45658</v>
      </c>
      <c r="U142" s="14">
        <v>45676.999988425923</v>
      </c>
      <c r="V142">
        <v>0</v>
      </c>
      <c r="W142">
        <v>0</v>
      </c>
    </row>
    <row r="143" spans="10:23" x14ac:dyDescent="0.25">
      <c r="J143" t="s">
        <v>428</v>
      </c>
      <c r="K143" t="s">
        <v>429</v>
      </c>
      <c r="R143" t="s">
        <v>145</v>
      </c>
      <c r="S143" s="14">
        <v>46112</v>
      </c>
      <c r="T143" s="14">
        <v>46082</v>
      </c>
      <c r="U143" s="14">
        <v>46112.999988425923</v>
      </c>
      <c r="V143">
        <v>0</v>
      </c>
      <c r="W143">
        <v>-38.9</v>
      </c>
    </row>
    <row r="144" spans="10:23" x14ac:dyDescent="0.25">
      <c r="J144" t="s">
        <v>430</v>
      </c>
      <c r="K144" t="s">
        <v>431</v>
      </c>
      <c r="R144" t="s">
        <v>145</v>
      </c>
      <c r="S144" s="14">
        <v>46081</v>
      </c>
      <c r="T144" s="14">
        <v>46054</v>
      </c>
      <c r="U144" s="14">
        <v>46081.999988425923</v>
      </c>
      <c r="V144">
        <v>0</v>
      </c>
      <c r="W144">
        <v>0</v>
      </c>
    </row>
    <row r="145" spans="10:23" x14ac:dyDescent="0.25">
      <c r="J145" t="s">
        <v>432</v>
      </c>
      <c r="K145" t="s">
        <v>433</v>
      </c>
      <c r="R145" t="s">
        <v>145</v>
      </c>
      <c r="S145" s="14">
        <v>46053</v>
      </c>
      <c r="T145" s="14">
        <v>46023</v>
      </c>
      <c r="U145" s="14">
        <v>46053.999988425923</v>
      </c>
      <c r="V145">
        <v>0</v>
      </c>
      <c r="W145">
        <v>0</v>
      </c>
    </row>
    <row r="146" spans="10:23" x14ac:dyDescent="0.25">
      <c r="J146" t="s">
        <v>434</v>
      </c>
      <c r="K146" t="s">
        <v>435</v>
      </c>
      <c r="R146" t="s">
        <v>145</v>
      </c>
      <c r="S146" s="14">
        <v>46022</v>
      </c>
      <c r="T146" s="14">
        <v>45992</v>
      </c>
      <c r="U146" s="14">
        <v>46022.999988425923</v>
      </c>
      <c r="V146">
        <v>-244.22</v>
      </c>
      <c r="W146">
        <v>0</v>
      </c>
    </row>
    <row r="147" spans="10:23" x14ac:dyDescent="0.25">
      <c r="J147" t="s">
        <v>436</v>
      </c>
      <c r="K147" t="s">
        <v>437</v>
      </c>
      <c r="R147" t="s">
        <v>145</v>
      </c>
      <c r="S147" s="14">
        <v>45991</v>
      </c>
      <c r="T147" s="14">
        <v>45962</v>
      </c>
      <c r="U147" s="14">
        <v>45991.999988425923</v>
      </c>
      <c r="V147">
        <v>-163.63999999999999</v>
      </c>
      <c r="W147">
        <v>-244.22</v>
      </c>
    </row>
    <row r="148" spans="10:23" x14ac:dyDescent="0.25">
      <c r="J148" t="s">
        <v>438</v>
      </c>
      <c r="K148" t="s">
        <v>439</v>
      </c>
      <c r="R148" t="s">
        <v>145</v>
      </c>
      <c r="S148" s="14">
        <v>45961</v>
      </c>
      <c r="T148" s="14">
        <v>45931</v>
      </c>
      <c r="U148" s="14">
        <v>45961.999988425923</v>
      </c>
      <c r="V148">
        <v>-103.31</v>
      </c>
      <c r="W148">
        <v>-163.63999999999999</v>
      </c>
    </row>
    <row r="149" spans="10:23" x14ac:dyDescent="0.25">
      <c r="J149" t="s">
        <v>440</v>
      </c>
      <c r="K149" t="s">
        <v>441</v>
      </c>
      <c r="R149" t="s">
        <v>145</v>
      </c>
      <c r="S149" s="14">
        <v>45930</v>
      </c>
      <c r="T149" s="14">
        <v>45901</v>
      </c>
      <c r="U149" s="14">
        <v>45930.999988425923</v>
      </c>
      <c r="V149">
        <v>-68.5</v>
      </c>
      <c r="W149">
        <v>-103.31</v>
      </c>
    </row>
    <row r="150" spans="10:23" x14ac:dyDescent="0.25">
      <c r="J150" t="s">
        <v>442</v>
      </c>
      <c r="K150" t="s">
        <v>443</v>
      </c>
      <c r="R150" t="s">
        <v>145</v>
      </c>
      <c r="S150" s="14">
        <v>45900</v>
      </c>
      <c r="T150" s="14">
        <v>45870</v>
      </c>
      <c r="U150" s="14">
        <v>45900.999988425923</v>
      </c>
      <c r="V150">
        <v>0</v>
      </c>
      <c r="W150">
        <v>-68.5</v>
      </c>
    </row>
    <row r="151" spans="10:23" x14ac:dyDescent="0.25">
      <c r="J151" t="s">
        <v>444</v>
      </c>
      <c r="K151" t="s">
        <v>445</v>
      </c>
      <c r="R151" t="s">
        <v>145</v>
      </c>
      <c r="S151" s="14">
        <v>45869</v>
      </c>
      <c r="T151" s="14">
        <v>45839</v>
      </c>
      <c r="U151" s="14">
        <v>45869.999988425923</v>
      </c>
      <c r="V151">
        <v>-58.31</v>
      </c>
      <c r="W151">
        <v>0</v>
      </c>
    </row>
    <row r="152" spans="10:23" x14ac:dyDescent="0.25">
      <c r="J152" t="s">
        <v>446</v>
      </c>
      <c r="K152" t="s">
        <v>447</v>
      </c>
      <c r="R152" t="s">
        <v>145</v>
      </c>
      <c r="S152" s="14">
        <v>45838</v>
      </c>
      <c r="T152" s="14">
        <v>45809</v>
      </c>
      <c r="U152" s="14">
        <v>45838.999988425923</v>
      </c>
      <c r="V152">
        <v>-195.33</v>
      </c>
      <c r="W152">
        <v>-58.31</v>
      </c>
    </row>
    <row r="153" spans="10:23" x14ac:dyDescent="0.25">
      <c r="J153" t="s">
        <v>448</v>
      </c>
      <c r="K153" t="s">
        <v>449</v>
      </c>
      <c r="R153" t="s">
        <v>145</v>
      </c>
      <c r="S153" s="14">
        <v>45808</v>
      </c>
      <c r="T153" s="14">
        <v>45778</v>
      </c>
      <c r="U153" s="14">
        <v>45808.999988425923</v>
      </c>
      <c r="V153">
        <v>-142.01</v>
      </c>
      <c r="W153">
        <v>-195.33</v>
      </c>
    </row>
    <row r="154" spans="10:23" x14ac:dyDescent="0.25">
      <c r="J154" t="s">
        <v>450</v>
      </c>
      <c r="K154" t="s">
        <v>451</v>
      </c>
      <c r="R154" t="s">
        <v>145</v>
      </c>
      <c r="S154" s="14">
        <v>45777</v>
      </c>
      <c r="T154" s="14">
        <v>45748</v>
      </c>
      <c r="U154" s="14">
        <v>45777.999988425923</v>
      </c>
      <c r="V154">
        <v>-92.76</v>
      </c>
      <c r="W154">
        <v>-142.01</v>
      </c>
    </row>
    <row r="155" spans="10:23" x14ac:dyDescent="0.25">
      <c r="J155" t="s">
        <v>452</v>
      </c>
      <c r="K155" t="s">
        <v>453</v>
      </c>
      <c r="R155" t="s">
        <v>145</v>
      </c>
      <c r="S155" s="14">
        <v>45747</v>
      </c>
      <c r="T155" s="14">
        <v>45717</v>
      </c>
      <c r="U155" s="14">
        <v>45747.999988425923</v>
      </c>
      <c r="V155">
        <v>-241.45</v>
      </c>
      <c r="W155">
        <v>-92.76</v>
      </c>
    </row>
    <row r="156" spans="10:23" x14ac:dyDescent="0.25">
      <c r="J156" t="s">
        <v>454</v>
      </c>
      <c r="K156" t="s">
        <v>455</v>
      </c>
      <c r="R156" t="s">
        <v>145</v>
      </c>
      <c r="S156" s="14">
        <v>45716</v>
      </c>
      <c r="T156" s="14">
        <v>45689</v>
      </c>
      <c r="U156" s="14">
        <v>45716.999988425923</v>
      </c>
      <c r="V156">
        <v>0</v>
      </c>
      <c r="W156">
        <v>-241.45</v>
      </c>
    </row>
    <row r="157" spans="10:23" x14ac:dyDescent="0.25">
      <c r="J157" t="s">
        <v>456</v>
      </c>
      <c r="K157" t="s">
        <v>457</v>
      </c>
      <c r="R157" t="s">
        <v>145</v>
      </c>
      <c r="S157" s="14">
        <v>45688</v>
      </c>
      <c r="T157" s="14">
        <v>45658</v>
      </c>
      <c r="U157" s="14">
        <v>45688.999988425923</v>
      </c>
      <c r="V157">
        <v>0</v>
      </c>
      <c r="W157">
        <v>0</v>
      </c>
    </row>
    <row r="158" spans="10:23" x14ac:dyDescent="0.25">
      <c r="J158" t="s">
        <v>458</v>
      </c>
      <c r="K158" t="s">
        <v>459</v>
      </c>
      <c r="R158" t="s">
        <v>151</v>
      </c>
      <c r="S158" s="14">
        <v>46142</v>
      </c>
      <c r="T158" s="14">
        <v>46113</v>
      </c>
      <c r="U158" s="14">
        <v>46142.999988425923</v>
      </c>
      <c r="V158">
        <v>-45691.59</v>
      </c>
      <c r="W158">
        <v>-47877.86</v>
      </c>
    </row>
    <row r="159" spans="10:23" x14ac:dyDescent="0.25">
      <c r="J159" t="s">
        <v>1112</v>
      </c>
      <c r="K159" t="s">
        <v>1113</v>
      </c>
      <c r="R159" t="s">
        <v>151</v>
      </c>
      <c r="S159" s="14">
        <v>46112</v>
      </c>
      <c r="T159" s="14">
        <v>46082</v>
      </c>
      <c r="U159" s="14">
        <v>46112.999988425923</v>
      </c>
      <c r="V159">
        <v>-44558.06</v>
      </c>
      <c r="W159">
        <v>-45691.59</v>
      </c>
    </row>
    <row r="160" spans="10:23" x14ac:dyDescent="0.25">
      <c r="J160" t="s">
        <v>460</v>
      </c>
      <c r="K160" t="s">
        <v>461</v>
      </c>
      <c r="R160" t="s">
        <v>151</v>
      </c>
      <c r="S160" s="14">
        <v>46081</v>
      </c>
      <c r="T160" s="14">
        <v>46054</v>
      </c>
      <c r="U160" s="14">
        <v>46081.999988425923</v>
      </c>
      <c r="V160">
        <v>-23458.400000000001</v>
      </c>
      <c r="W160">
        <v>-44558.06</v>
      </c>
    </row>
    <row r="161" spans="10:23" x14ac:dyDescent="0.25">
      <c r="J161" t="s">
        <v>462</v>
      </c>
      <c r="K161" t="s">
        <v>463</v>
      </c>
      <c r="R161" t="s">
        <v>151</v>
      </c>
      <c r="S161" s="14">
        <v>46053</v>
      </c>
      <c r="T161" s="14">
        <v>46023</v>
      </c>
      <c r="U161" s="14">
        <v>46053.999988425923</v>
      </c>
      <c r="V161">
        <v>-25259.51</v>
      </c>
      <c r="W161">
        <v>-23458.400000000001</v>
      </c>
    </row>
    <row r="162" spans="10:23" x14ac:dyDescent="0.25">
      <c r="J162" t="s">
        <v>464</v>
      </c>
      <c r="K162" t="s">
        <v>465</v>
      </c>
      <c r="R162" t="s">
        <v>151</v>
      </c>
      <c r="S162" s="14">
        <v>46022</v>
      </c>
      <c r="T162" s="14">
        <v>45992</v>
      </c>
      <c r="U162" s="14">
        <v>46022.999988425923</v>
      </c>
      <c r="V162">
        <v>-29792.61</v>
      </c>
      <c r="W162">
        <v>-25259.51</v>
      </c>
    </row>
    <row r="163" spans="10:23" x14ac:dyDescent="0.25">
      <c r="J163" t="s">
        <v>466</v>
      </c>
      <c r="K163" t="s">
        <v>467</v>
      </c>
      <c r="R163" t="s">
        <v>151</v>
      </c>
      <c r="S163" s="14">
        <v>45991</v>
      </c>
      <c r="T163" s="14">
        <v>45962</v>
      </c>
      <c r="U163" s="14">
        <v>45991.999988425923</v>
      </c>
      <c r="V163">
        <v>-26385.07</v>
      </c>
      <c r="W163">
        <v>-29792.61</v>
      </c>
    </row>
    <row r="164" spans="10:23" x14ac:dyDescent="0.25">
      <c r="J164" t="s">
        <v>468</v>
      </c>
      <c r="K164" t="s">
        <v>469</v>
      </c>
      <c r="R164" t="s">
        <v>151</v>
      </c>
      <c r="S164" s="14">
        <v>45961</v>
      </c>
      <c r="T164" s="14">
        <v>45931</v>
      </c>
      <c r="U164" s="14">
        <v>45961.999988425923</v>
      </c>
      <c r="V164">
        <v>-26673.42</v>
      </c>
      <c r="W164">
        <v>-26385.07</v>
      </c>
    </row>
    <row r="165" spans="10:23" x14ac:dyDescent="0.25">
      <c r="J165" t="s">
        <v>470</v>
      </c>
      <c r="K165" t="s">
        <v>471</v>
      </c>
      <c r="R165" t="s">
        <v>151</v>
      </c>
      <c r="S165" s="14">
        <v>45930</v>
      </c>
      <c r="T165" s="14">
        <v>45901</v>
      </c>
      <c r="U165" s="14">
        <v>45930.999988425923</v>
      </c>
      <c r="V165">
        <v>-25897.55</v>
      </c>
      <c r="W165">
        <v>-26673.42</v>
      </c>
    </row>
    <row r="166" spans="10:23" x14ac:dyDescent="0.25">
      <c r="J166" t="s">
        <v>472</v>
      </c>
      <c r="K166" t="s">
        <v>473</v>
      </c>
      <c r="R166" t="s">
        <v>151</v>
      </c>
      <c r="S166" s="14">
        <v>45900</v>
      </c>
      <c r="T166" s="14">
        <v>45870</v>
      </c>
      <c r="U166" s="14">
        <v>45900.999988425923</v>
      </c>
      <c r="V166">
        <v>-25051.87</v>
      </c>
      <c r="W166">
        <v>-25897.55</v>
      </c>
    </row>
    <row r="167" spans="10:23" x14ac:dyDescent="0.25">
      <c r="J167" t="s">
        <v>474</v>
      </c>
      <c r="K167" t="s">
        <v>475</v>
      </c>
      <c r="R167" t="s">
        <v>151</v>
      </c>
      <c r="S167" s="14">
        <v>45869</v>
      </c>
      <c r="T167" s="14">
        <v>45839</v>
      </c>
      <c r="U167" s="14">
        <v>45869.999988425923</v>
      </c>
      <c r="V167">
        <v>-50053.65</v>
      </c>
      <c r="W167">
        <v>-25051.87</v>
      </c>
    </row>
    <row r="168" spans="10:23" x14ac:dyDescent="0.25">
      <c r="J168" t="s">
        <v>476</v>
      </c>
      <c r="K168" t="s">
        <v>477</v>
      </c>
      <c r="R168" t="s">
        <v>151</v>
      </c>
      <c r="S168" s="14">
        <v>45838</v>
      </c>
      <c r="T168" s="14">
        <v>45809</v>
      </c>
      <c r="U168" s="14">
        <v>45838.999988425923</v>
      </c>
      <c r="V168">
        <v>-49127.39</v>
      </c>
      <c r="W168">
        <v>-50053.65</v>
      </c>
    </row>
    <row r="169" spans="10:23" x14ac:dyDescent="0.25">
      <c r="J169" t="s">
        <v>478</v>
      </c>
      <c r="K169" t="s">
        <v>479</v>
      </c>
      <c r="R169" t="s">
        <v>151</v>
      </c>
      <c r="S169" s="14">
        <v>45808</v>
      </c>
      <c r="T169" s="14">
        <v>45778</v>
      </c>
      <c r="U169" s="14">
        <v>45808.999988425923</v>
      </c>
      <c r="V169">
        <v>-45243.98</v>
      </c>
      <c r="W169">
        <v>-49127.39</v>
      </c>
    </row>
    <row r="170" spans="10:23" x14ac:dyDescent="0.25">
      <c r="J170" t="s">
        <v>480</v>
      </c>
      <c r="K170" t="s">
        <v>481</v>
      </c>
      <c r="R170" t="s">
        <v>151</v>
      </c>
      <c r="S170" s="14">
        <v>45777</v>
      </c>
      <c r="T170" s="14">
        <v>45748</v>
      </c>
      <c r="U170" s="14">
        <v>45777.999988425923</v>
      </c>
      <c r="V170">
        <v>-44239.25</v>
      </c>
      <c r="W170">
        <v>-45243.98</v>
      </c>
    </row>
    <row r="171" spans="10:23" x14ac:dyDescent="0.25">
      <c r="J171" t="s">
        <v>482</v>
      </c>
      <c r="K171" t="s">
        <v>483</v>
      </c>
      <c r="R171" t="s">
        <v>151</v>
      </c>
      <c r="S171" s="14">
        <v>45747</v>
      </c>
      <c r="T171" s="14">
        <v>45717</v>
      </c>
      <c r="U171" s="14">
        <v>45747.999988425923</v>
      </c>
      <c r="V171">
        <v>-43062.42</v>
      </c>
      <c r="W171">
        <v>-44239.25</v>
      </c>
    </row>
    <row r="172" spans="10:23" x14ac:dyDescent="0.25">
      <c r="J172" t="s">
        <v>484</v>
      </c>
      <c r="K172" t="s">
        <v>485</v>
      </c>
      <c r="R172" t="s">
        <v>151</v>
      </c>
      <c r="S172" s="14">
        <v>45716</v>
      </c>
      <c r="T172" s="14">
        <v>45689</v>
      </c>
      <c r="U172" s="14">
        <v>45716.999988425923</v>
      </c>
      <c r="V172">
        <v>-44870.19</v>
      </c>
      <c r="W172">
        <v>-43062.42</v>
      </c>
    </row>
    <row r="173" spans="10:23" x14ac:dyDescent="0.25">
      <c r="J173" t="s">
        <v>486</v>
      </c>
      <c r="K173" t="s">
        <v>487</v>
      </c>
      <c r="R173" t="s">
        <v>151</v>
      </c>
      <c r="S173" s="14">
        <v>45688</v>
      </c>
      <c r="T173" s="14">
        <v>45658</v>
      </c>
      <c r="U173" s="14">
        <v>45688.999988425923</v>
      </c>
      <c r="V173">
        <v>-43477.56</v>
      </c>
      <c r="W173">
        <v>-44870.19</v>
      </c>
    </row>
    <row r="174" spans="10:23" x14ac:dyDescent="0.25">
      <c r="J174" t="s">
        <v>488</v>
      </c>
      <c r="K174" t="s">
        <v>489</v>
      </c>
      <c r="R174" t="s">
        <v>151</v>
      </c>
      <c r="S174" s="14">
        <v>45657</v>
      </c>
      <c r="T174" s="14">
        <v>45627</v>
      </c>
      <c r="U174" s="14">
        <v>45657.999988425923</v>
      </c>
      <c r="V174">
        <v>-43278.400000000001</v>
      </c>
      <c r="W174">
        <v>-43477.56</v>
      </c>
    </row>
    <row r="175" spans="10:23" x14ac:dyDescent="0.25">
      <c r="J175" t="s">
        <v>490</v>
      </c>
      <c r="K175" t="s">
        <v>491</v>
      </c>
    </row>
    <row r="176" spans="10:23" x14ac:dyDescent="0.25">
      <c r="J176" t="s">
        <v>492</v>
      </c>
      <c r="K176" t="s">
        <v>493</v>
      </c>
    </row>
    <row r="177" spans="10:11" x14ac:dyDescent="0.25">
      <c r="J177" t="s">
        <v>494</v>
      </c>
      <c r="K177" t="s">
        <v>495</v>
      </c>
    </row>
    <row r="178" spans="10:11" x14ac:dyDescent="0.25">
      <c r="J178" t="s">
        <v>496</v>
      </c>
      <c r="K178" t="s">
        <v>497</v>
      </c>
    </row>
    <row r="179" spans="10:11" x14ac:dyDescent="0.25">
      <c r="J179" t="s">
        <v>498</v>
      </c>
      <c r="K179" t="s">
        <v>499</v>
      </c>
    </row>
    <row r="180" spans="10:11" x14ac:dyDescent="0.25">
      <c r="J180" t="s">
        <v>500</v>
      </c>
      <c r="K180" t="s">
        <v>501</v>
      </c>
    </row>
    <row r="181" spans="10:11" x14ac:dyDescent="0.25">
      <c r="J181" t="s">
        <v>502</v>
      </c>
      <c r="K181" t="s">
        <v>503</v>
      </c>
    </row>
    <row r="182" spans="10:11" x14ac:dyDescent="0.25">
      <c r="J182" t="s">
        <v>504</v>
      </c>
      <c r="K182" t="s">
        <v>505</v>
      </c>
    </row>
    <row r="183" spans="10:11" x14ac:dyDescent="0.25">
      <c r="J183" t="s">
        <v>506</v>
      </c>
      <c r="K183" t="s">
        <v>507</v>
      </c>
    </row>
    <row r="184" spans="10:11" x14ac:dyDescent="0.25">
      <c r="J184" t="s">
        <v>508</v>
      </c>
      <c r="K184" t="s">
        <v>509</v>
      </c>
    </row>
    <row r="185" spans="10:11" x14ac:dyDescent="0.25">
      <c r="J185" t="s">
        <v>510</v>
      </c>
      <c r="K185" t="s">
        <v>511</v>
      </c>
    </row>
    <row r="186" spans="10:11" x14ac:dyDescent="0.25">
      <c r="J186" t="s">
        <v>512</v>
      </c>
      <c r="K186" t="s">
        <v>513</v>
      </c>
    </row>
    <row r="187" spans="10:11" x14ac:dyDescent="0.25">
      <c r="J187" t="s">
        <v>514</v>
      </c>
      <c r="K187" t="s">
        <v>515</v>
      </c>
    </row>
    <row r="188" spans="10:11" x14ac:dyDescent="0.25">
      <c r="J188" t="s">
        <v>516</v>
      </c>
      <c r="K188" t="s">
        <v>517</v>
      </c>
    </row>
    <row r="189" spans="10:11" x14ac:dyDescent="0.25">
      <c r="J189" t="s">
        <v>518</v>
      </c>
      <c r="K189" t="s">
        <v>519</v>
      </c>
    </row>
    <row r="190" spans="10:11" x14ac:dyDescent="0.25">
      <c r="J190" t="s">
        <v>520</v>
      </c>
      <c r="K190" t="s">
        <v>521</v>
      </c>
    </row>
    <row r="191" spans="10:11" x14ac:dyDescent="0.25">
      <c r="J191" t="s">
        <v>522</v>
      </c>
      <c r="K191" t="s">
        <v>523</v>
      </c>
    </row>
    <row r="192" spans="10:11" x14ac:dyDescent="0.25">
      <c r="J192" t="s">
        <v>524</v>
      </c>
      <c r="K192" t="s">
        <v>525</v>
      </c>
    </row>
    <row r="193" spans="10:11" x14ac:dyDescent="0.25">
      <c r="J193" t="s">
        <v>526</v>
      </c>
      <c r="K193" t="s">
        <v>527</v>
      </c>
    </row>
    <row r="194" spans="10:11" x14ac:dyDescent="0.25">
      <c r="J194" t="s">
        <v>528</v>
      </c>
      <c r="K194" t="s">
        <v>529</v>
      </c>
    </row>
    <row r="195" spans="10:11" x14ac:dyDescent="0.25">
      <c r="J195" t="s">
        <v>530</v>
      </c>
      <c r="K195" t="s">
        <v>531</v>
      </c>
    </row>
    <row r="196" spans="10:11" x14ac:dyDescent="0.25">
      <c r="J196" t="s">
        <v>532</v>
      </c>
      <c r="K196" t="s">
        <v>533</v>
      </c>
    </row>
    <row r="197" spans="10:11" x14ac:dyDescent="0.25">
      <c r="J197" t="s">
        <v>534</v>
      </c>
      <c r="K197" t="s">
        <v>535</v>
      </c>
    </row>
    <row r="198" spans="10:11" x14ac:dyDescent="0.25">
      <c r="J198" t="s">
        <v>536</v>
      </c>
      <c r="K198" t="s">
        <v>537</v>
      </c>
    </row>
    <row r="199" spans="10:11" x14ac:dyDescent="0.25">
      <c r="J199" t="s">
        <v>538</v>
      </c>
      <c r="K199" t="s">
        <v>539</v>
      </c>
    </row>
    <row r="200" spans="10:11" x14ac:dyDescent="0.25">
      <c r="J200" t="s">
        <v>540</v>
      </c>
      <c r="K200" t="s">
        <v>541</v>
      </c>
    </row>
    <row r="201" spans="10:11" x14ac:dyDescent="0.25">
      <c r="J201" t="s">
        <v>542</v>
      </c>
      <c r="K201" t="s">
        <v>543</v>
      </c>
    </row>
    <row r="202" spans="10:11" x14ac:dyDescent="0.25">
      <c r="J202" t="s">
        <v>544</v>
      </c>
      <c r="K202" t="s">
        <v>545</v>
      </c>
    </row>
    <row r="203" spans="10:11" x14ac:dyDescent="0.25">
      <c r="J203" t="s">
        <v>546</v>
      </c>
      <c r="K203" t="s">
        <v>547</v>
      </c>
    </row>
    <row r="204" spans="10:11" x14ac:dyDescent="0.25">
      <c r="J204" t="s">
        <v>548</v>
      </c>
      <c r="K204" t="s">
        <v>549</v>
      </c>
    </row>
    <row r="205" spans="10:11" x14ac:dyDescent="0.25">
      <c r="J205" t="s">
        <v>550</v>
      </c>
      <c r="K205" t="s">
        <v>551</v>
      </c>
    </row>
    <row r="206" spans="10:11" x14ac:dyDescent="0.25">
      <c r="J206" t="s">
        <v>552</v>
      </c>
      <c r="K206" t="s">
        <v>553</v>
      </c>
    </row>
    <row r="207" spans="10:11" x14ac:dyDescent="0.25">
      <c r="J207" t="s">
        <v>1087</v>
      </c>
      <c r="K207" t="s">
        <v>1088</v>
      </c>
    </row>
    <row r="208" spans="10:11" x14ac:dyDescent="0.25">
      <c r="J208" t="s">
        <v>554</v>
      </c>
      <c r="K208" t="s">
        <v>555</v>
      </c>
    </row>
    <row r="209" spans="10:11" x14ac:dyDescent="0.25">
      <c r="J209" t="s">
        <v>556</v>
      </c>
      <c r="K209" t="s">
        <v>557</v>
      </c>
    </row>
    <row r="210" spans="10:11" x14ac:dyDescent="0.25">
      <c r="J210" t="s">
        <v>558</v>
      </c>
      <c r="K210" t="s">
        <v>559</v>
      </c>
    </row>
    <row r="211" spans="10:11" x14ac:dyDescent="0.25">
      <c r="J211" t="s">
        <v>560</v>
      </c>
      <c r="K211" t="s">
        <v>561</v>
      </c>
    </row>
    <row r="212" spans="10:11" x14ac:dyDescent="0.25">
      <c r="J212" t="s">
        <v>562</v>
      </c>
      <c r="K212" t="s">
        <v>563</v>
      </c>
    </row>
    <row r="213" spans="10:11" x14ac:dyDescent="0.25">
      <c r="J213" t="s">
        <v>564</v>
      </c>
      <c r="K213" t="s">
        <v>565</v>
      </c>
    </row>
    <row r="214" spans="10:11" x14ac:dyDescent="0.25">
      <c r="J214" t="s">
        <v>566</v>
      </c>
      <c r="K214" t="s">
        <v>567</v>
      </c>
    </row>
    <row r="215" spans="10:11" x14ac:dyDescent="0.25">
      <c r="J215" t="s">
        <v>568</v>
      </c>
      <c r="K215" t="s">
        <v>569</v>
      </c>
    </row>
    <row r="216" spans="10:11" x14ac:dyDescent="0.25">
      <c r="J216" t="s">
        <v>570</v>
      </c>
      <c r="K216" t="s">
        <v>571</v>
      </c>
    </row>
    <row r="217" spans="10:11" x14ac:dyDescent="0.25">
      <c r="J217" t="s">
        <v>572</v>
      </c>
      <c r="K217" t="s">
        <v>573</v>
      </c>
    </row>
    <row r="218" spans="10:11" x14ac:dyDescent="0.25">
      <c r="J218" t="s">
        <v>574</v>
      </c>
      <c r="K218" t="s">
        <v>575</v>
      </c>
    </row>
    <row r="219" spans="10:11" x14ac:dyDescent="0.25">
      <c r="J219" t="s">
        <v>576</v>
      </c>
      <c r="K219" t="s">
        <v>577</v>
      </c>
    </row>
    <row r="220" spans="10:11" x14ac:dyDescent="0.25">
      <c r="J220" t="s">
        <v>578</v>
      </c>
      <c r="K220" t="s">
        <v>579</v>
      </c>
    </row>
    <row r="221" spans="10:11" x14ac:dyDescent="0.25">
      <c r="J221" t="s">
        <v>580</v>
      </c>
      <c r="K221" t="s">
        <v>581</v>
      </c>
    </row>
    <row r="222" spans="10:11" x14ac:dyDescent="0.25">
      <c r="J222" t="s">
        <v>582</v>
      </c>
      <c r="K222" t="s">
        <v>583</v>
      </c>
    </row>
    <row r="223" spans="10:11" x14ac:dyDescent="0.25">
      <c r="J223" t="s">
        <v>584</v>
      </c>
      <c r="K223" t="s">
        <v>585</v>
      </c>
    </row>
    <row r="224" spans="10:11" x14ac:dyDescent="0.25">
      <c r="J224" t="s">
        <v>586</v>
      </c>
      <c r="K224" t="s">
        <v>587</v>
      </c>
    </row>
    <row r="225" spans="10:11" x14ac:dyDescent="0.25">
      <c r="J225" t="s">
        <v>588</v>
      </c>
      <c r="K225" t="s">
        <v>589</v>
      </c>
    </row>
    <row r="226" spans="10:11" x14ac:dyDescent="0.25">
      <c r="J226" t="s">
        <v>590</v>
      </c>
      <c r="K226" t="s">
        <v>591</v>
      </c>
    </row>
    <row r="227" spans="10:11" x14ac:dyDescent="0.25">
      <c r="J227" t="s">
        <v>592</v>
      </c>
      <c r="K227" t="s">
        <v>593</v>
      </c>
    </row>
    <row r="228" spans="10:11" x14ac:dyDescent="0.25">
      <c r="J228" t="s">
        <v>594</v>
      </c>
      <c r="K228" t="s">
        <v>595</v>
      </c>
    </row>
    <row r="229" spans="10:11" x14ac:dyDescent="0.25">
      <c r="J229" t="s">
        <v>1089</v>
      </c>
      <c r="K229" t="s">
        <v>1090</v>
      </c>
    </row>
    <row r="230" spans="10:11" x14ac:dyDescent="0.25">
      <c r="J230" t="s">
        <v>596</v>
      </c>
      <c r="K230" t="s">
        <v>597</v>
      </c>
    </row>
    <row r="231" spans="10:11" x14ac:dyDescent="0.25">
      <c r="J231" t="s">
        <v>598</v>
      </c>
      <c r="K231" t="s">
        <v>599</v>
      </c>
    </row>
    <row r="232" spans="10:11" x14ac:dyDescent="0.25">
      <c r="J232" t="s">
        <v>600</v>
      </c>
      <c r="K232" t="s">
        <v>601</v>
      </c>
    </row>
    <row r="233" spans="10:11" x14ac:dyDescent="0.25">
      <c r="J233" t="s">
        <v>602</v>
      </c>
      <c r="K233" t="s">
        <v>603</v>
      </c>
    </row>
    <row r="234" spans="10:11" x14ac:dyDescent="0.25">
      <c r="J234" t="s">
        <v>604</v>
      </c>
      <c r="K234" t="s">
        <v>605</v>
      </c>
    </row>
    <row r="235" spans="10:11" x14ac:dyDescent="0.25">
      <c r="J235" t="s">
        <v>606</v>
      </c>
      <c r="K235" t="s">
        <v>607</v>
      </c>
    </row>
    <row r="236" spans="10:11" x14ac:dyDescent="0.25">
      <c r="J236" t="s">
        <v>608</v>
      </c>
      <c r="K236" t="s">
        <v>609</v>
      </c>
    </row>
    <row r="237" spans="10:11" x14ac:dyDescent="0.25">
      <c r="J237" t="s">
        <v>610</v>
      </c>
      <c r="K237" t="s">
        <v>611</v>
      </c>
    </row>
    <row r="238" spans="10:11" x14ac:dyDescent="0.25">
      <c r="J238" t="s">
        <v>612</v>
      </c>
      <c r="K238" t="s">
        <v>613</v>
      </c>
    </row>
    <row r="239" spans="10:11" x14ac:dyDescent="0.25">
      <c r="J239" t="s">
        <v>614</v>
      </c>
      <c r="K239" t="s">
        <v>615</v>
      </c>
    </row>
    <row r="240" spans="10:11" x14ac:dyDescent="0.25">
      <c r="J240" t="s">
        <v>616</v>
      </c>
      <c r="K240" t="s">
        <v>617</v>
      </c>
    </row>
    <row r="241" spans="10:11" x14ac:dyDescent="0.25">
      <c r="J241" t="s">
        <v>618</v>
      </c>
      <c r="K241" t="s">
        <v>619</v>
      </c>
    </row>
    <row r="242" spans="10:11" x14ac:dyDescent="0.25">
      <c r="J242" t="s">
        <v>620</v>
      </c>
      <c r="K242" t="s">
        <v>621</v>
      </c>
    </row>
    <row r="243" spans="10:11" x14ac:dyDescent="0.25">
      <c r="J243" t="s">
        <v>622</v>
      </c>
      <c r="K243" t="s">
        <v>623</v>
      </c>
    </row>
    <row r="244" spans="10:11" x14ac:dyDescent="0.25">
      <c r="J244" t="s">
        <v>624</v>
      </c>
      <c r="K244" t="s">
        <v>625</v>
      </c>
    </row>
    <row r="245" spans="10:11" x14ac:dyDescent="0.25">
      <c r="J245" t="s">
        <v>626</v>
      </c>
      <c r="K245" t="s">
        <v>627</v>
      </c>
    </row>
    <row r="246" spans="10:11" x14ac:dyDescent="0.25">
      <c r="J246" t="s">
        <v>628</v>
      </c>
      <c r="K246" t="s">
        <v>629</v>
      </c>
    </row>
    <row r="247" spans="10:11" x14ac:dyDescent="0.25">
      <c r="J247" t="s">
        <v>630</v>
      </c>
      <c r="K247" t="s">
        <v>631</v>
      </c>
    </row>
    <row r="248" spans="10:11" x14ac:dyDescent="0.25">
      <c r="J248" t="s">
        <v>632</v>
      </c>
      <c r="K248" t="s">
        <v>633</v>
      </c>
    </row>
    <row r="249" spans="10:11" x14ac:dyDescent="0.25">
      <c r="J249" t="s">
        <v>634</v>
      </c>
      <c r="K249" t="s">
        <v>635</v>
      </c>
    </row>
    <row r="250" spans="10:11" x14ac:dyDescent="0.25">
      <c r="J250" t="s">
        <v>636</v>
      </c>
      <c r="K250" t="s">
        <v>637</v>
      </c>
    </row>
    <row r="251" spans="10:11" x14ac:dyDescent="0.25">
      <c r="J251" t="s">
        <v>638</v>
      </c>
      <c r="K251" t="s">
        <v>639</v>
      </c>
    </row>
    <row r="252" spans="10:11" x14ac:dyDescent="0.25">
      <c r="J252" t="s">
        <v>640</v>
      </c>
      <c r="K252" t="s">
        <v>641</v>
      </c>
    </row>
    <row r="253" spans="10:11" x14ac:dyDescent="0.25">
      <c r="J253" t="s">
        <v>642</v>
      </c>
      <c r="K253" t="s">
        <v>643</v>
      </c>
    </row>
    <row r="254" spans="10:11" x14ac:dyDescent="0.25">
      <c r="J254" t="s">
        <v>644</v>
      </c>
      <c r="K254" t="s">
        <v>645</v>
      </c>
    </row>
    <row r="255" spans="10:11" x14ac:dyDescent="0.25">
      <c r="J255" t="s">
        <v>646</v>
      </c>
      <c r="K255" t="s">
        <v>647</v>
      </c>
    </row>
    <row r="256" spans="10:11" x14ac:dyDescent="0.25">
      <c r="J256" t="s">
        <v>648</v>
      </c>
      <c r="K256" t="s">
        <v>649</v>
      </c>
    </row>
    <row r="257" spans="10:11" x14ac:dyDescent="0.25">
      <c r="J257" t="s">
        <v>650</v>
      </c>
      <c r="K257" t="s">
        <v>651</v>
      </c>
    </row>
    <row r="258" spans="10:11" x14ac:dyDescent="0.25">
      <c r="J258" t="s">
        <v>652</v>
      </c>
      <c r="K258" t="s">
        <v>653</v>
      </c>
    </row>
    <row r="259" spans="10:11" x14ac:dyDescent="0.25">
      <c r="J259" t="s">
        <v>654</v>
      </c>
      <c r="K259" t="s">
        <v>655</v>
      </c>
    </row>
    <row r="260" spans="10:11" x14ac:dyDescent="0.25">
      <c r="J260" t="s">
        <v>656</v>
      </c>
      <c r="K260" t="s">
        <v>657</v>
      </c>
    </row>
    <row r="261" spans="10:11" x14ac:dyDescent="0.25">
      <c r="J261" t="s">
        <v>658</v>
      </c>
      <c r="K261" t="s">
        <v>659</v>
      </c>
    </row>
    <row r="262" spans="10:11" x14ac:dyDescent="0.25">
      <c r="J262" t="s">
        <v>660</v>
      </c>
      <c r="K262" t="s">
        <v>661</v>
      </c>
    </row>
    <row r="263" spans="10:11" x14ac:dyDescent="0.25">
      <c r="J263" t="s">
        <v>662</v>
      </c>
      <c r="K263" t="s">
        <v>663</v>
      </c>
    </row>
    <row r="264" spans="10:11" x14ac:dyDescent="0.25">
      <c r="J264" t="s">
        <v>664</v>
      </c>
      <c r="K264" t="s">
        <v>665</v>
      </c>
    </row>
    <row r="265" spans="10:11" x14ac:dyDescent="0.25">
      <c r="J265" t="s">
        <v>666</v>
      </c>
      <c r="K265" t="s">
        <v>667</v>
      </c>
    </row>
    <row r="266" spans="10:11" x14ac:dyDescent="0.25">
      <c r="J266" t="s">
        <v>668</v>
      </c>
      <c r="K266" t="s">
        <v>669</v>
      </c>
    </row>
    <row r="267" spans="10:11" x14ac:dyDescent="0.25">
      <c r="J267" t="s">
        <v>670</v>
      </c>
      <c r="K267" t="s">
        <v>671</v>
      </c>
    </row>
    <row r="268" spans="10:11" x14ac:dyDescent="0.25">
      <c r="J268" t="s">
        <v>672</v>
      </c>
      <c r="K268" t="s">
        <v>673</v>
      </c>
    </row>
    <row r="269" spans="10:11" x14ac:dyDescent="0.25">
      <c r="J269" t="s">
        <v>674</v>
      </c>
      <c r="K269" t="s">
        <v>675</v>
      </c>
    </row>
    <row r="270" spans="10:11" x14ac:dyDescent="0.25">
      <c r="J270" t="s">
        <v>676</v>
      </c>
      <c r="K270" t="s">
        <v>677</v>
      </c>
    </row>
    <row r="271" spans="10:11" x14ac:dyDescent="0.25">
      <c r="J271" t="s">
        <v>678</v>
      </c>
      <c r="K271" t="s">
        <v>679</v>
      </c>
    </row>
    <row r="272" spans="10:11" x14ac:dyDescent="0.25">
      <c r="J272" t="s">
        <v>680</v>
      </c>
      <c r="K272" t="s">
        <v>681</v>
      </c>
    </row>
    <row r="273" spans="10:11" x14ac:dyDescent="0.25">
      <c r="J273" t="s">
        <v>1114</v>
      </c>
      <c r="K273" t="s">
        <v>1115</v>
      </c>
    </row>
    <row r="274" spans="10:11" x14ac:dyDescent="0.25">
      <c r="J274" t="s">
        <v>682</v>
      </c>
      <c r="K274" t="s">
        <v>683</v>
      </c>
    </row>
    <row r="275" spans="10:11" x14ac:dyDescent="0.25">
      <c r="J275" t="s">
        <v>684</v>
      </c>
      <c r="K275" t="s">
        <v>685</v>
      </c>
    </row>
    <row r="276" spans="10:11" x14ac:dyDescent="0.25">
      <c r="J276" t="s">
        <v>686</v>
      </c>
      <c r="K276" t="s">
        <v>687</v>
      </c>
    </row>
    <row r="277" spans="10:11" x14ac:dyDescent="0.25">
      <c r="J277" t="s">
        <v>688</v>
      </c>
      <c r="K277" t="s">
        <v>689</v>
      </c>
    </row>
    <row r="278" spans="10:11" x14ac:dyDescent="0.25">
      <c r="J278" t="s">
        <v>690</v>
      </c>
      <c r="K278" t="s">
        <v>691</v>
      </c>
    </row>
    <row r="279" spans="10:11" x14ac:dyDescent="0.25">
      <c r="J279" t="s">
        <v>692</v>
      </c>
      <c r="K279" t="s">
        <v>693</v>
      </c>
    </row>
    <row r="280" spans="10:11" x14ac:dyDescent="0.25">
      <c r="J280" t="s">
        <v>1091</v>
      </c>
      <c r="K280" t="s">
        <v>1092</v>
      </c>
    </row>
    <row r="281" spans="10:11" x14ac:dyDescent="0.25">
      <c r="J281" t="s">
        <v>694</v>
      </c>
      <c r="K281" t="s">
        <v>695</v>
      </c>
    </row>
    <row r="282" spans="10:11" x14ac:dyDescent="0.25">
      <c r="J282" t="s">
        <v>696</v>
      </c>
      <c r="K282" t="s">
        <v>697</v>
      </c>
    </row>
    <row r="283" spans="10:11" x14ac:dyDescent="0.25">
      <c r="J283" t="s">
        <v>698</v>
      </c>
      <c r="K283" t="s">
        <v>699</v>
      </c>
    </row>
    <row r="284" spans="10:11" x14ac:dyDescent="0.25">
      <c r="J284" t="s">
        <v>700</v>
      </c>
      <c r="K284" t="s">
        <v>701</v>
      </c>
    </row>
    <row r="285" spans="10:11" x14ac:dyDescent="0.25">
      <c r="J285" t="s">
        <v>702</v>
      </c>
      <c r="K285" t="s">
        <v>703</v>
      </c>
    </row>
    <row r="286" spans="10:11" x14ac:dyDescent="0.25">
      <c r="J286" t="s">
        <v>704</v>
      </c>
      <c r="K286" t="s">
        <v>705</v>
      </c>
    </row>
    <row r="287" spans="10:11" x14ac:dyDescent="0.25">
      <c r="J287" t="s">
        <v>706</v>
      </c>
      <c r="K287" t="s">
        <v>707</v>
      </c>
    </row>
    <row r="288" spans="10:11" x14ac:dyDescent="0.25">
      <c r="J288" t="s">
        <v>708</v>
      </c>
      <c r="K288" t="s">
        <v>709</v>
      </c>
    </row>
    <row r="289" spans="10:11" x14ac:dyDescent="0.25">
      <c r="J289" t="s">
        <v>710</v>
      </c>
      <c r="K289" t="s">
        <v>711</v>
      </c>
    </row>
    <row r="290" spans="10:11" x14ac:dyDescent="0.25">
      <c r="J290" t="s">
        <v>712</v>
      </c>
      <c r="K290" t="s">
        <v>713</v>
      </c>
    </row>
    <row r="291" spans="10:11" x14ac:dyDescent="0.25">
      <c r="J291" t="s">
        <v>714</v>
      </c>
      <c r="K291" t="s">
        <v>715</v>
      </c>
    </row>
    <row r="292" spans="10:11" x14ac:dyDescent="0.25">
      <c r="J292" t="s">
        <v>716</v>
      </c>
      <c r="K292" t="s">
        <v>717</v>
      </c>
    </row>
    <row r="293" spans="10:11" x14ac:dyDescent="0.25">
      <c r="J293" t="s">
        <v>718</v>
      </c>
      <c r="K293" t="s">
        <v>719</v>
      </c>
    </row>
    <row r="294" spans="10:11" x14ac:dyDescent="0.25">
      <c r="J294" t="s">
        <v>720</v>
      </c>
      <c r="K294" t="s">
        <v>721</v>
      </c>
    </row>
    <row r="295" spans="10:11" x14ac:dyDescent="0.25">
      <c r="J295" t="s">
        <v>722</v>
      </c>
      <c r="K295" t="s">
        <v>723</v>
      </c>
    </row>
    <row r="296" spans="10:11" x14ac:dyDescent="0.25">
      <c r="J296" t="s">
        <v>724</v>
      </c>
      <c r="K296" t="s">
        <v>725</v>
      </c>
    </row>
    <row r="297" spans="10:11" x14ac:dyDescent="0.25">
      <c r="J297" t="s">
        <v>726</v>
      </c>
      <c r="K297" t="s">
        <v>727</v>
      </c>
    </row>
    <row r="298" spans="10:11" x14ac:dyDescent="0.25">
      <c r="J298" t="s">
        <v>728</v>
      </c>
      <c r="K298" t="s">
        <v>729</v>
      </c>
    </row>
    <row r="299" spans="10:11" x14ac:dyDescent="0.25">
      <c r="J299" t="s">
        <v>730</v>
      </c>
      <c r="K299" t="s">
        <v>731</v>
      </c>
    </row>
    <row r="300" spans="10:11" x14ac:dyDescent="0.25">
      <c r="J300" t="s">
        <v>732</v>
      </c>
      <c r="K300" t="s">
        <v>733</v>
      </c>
    </row>
    <row r="301" spans="10:11" x14ac:dyDescent="0.25">
      <c r="J301" t="s">
        <v>734</v>
      </c>
      <c r="K301" t="s">
        <v>735</v>
      </c>
    </row>
    <row r="302" spans="10:11" x14ac:dyDescent="0.25">
      <c r="J302" t="s">
        <v>736</v>
      </c>
      <c r="K302" t="s">
        <v>737</v>
      </c>
    </row>
    <row r="303" spans="10:11" x14ac:dyDescent="0.25">
      <c r="J303" t="s">
        <v>738</v>
      </c>
      <c r="K303" t="s">
        <v>739</v>
      </c>
    </row>
    <row r="304" spans="10:11" x14ac:dyDescent="0.25">
      <c r="J304" t="s">
        <v>740</v>
      </c>
      <c r="K304" t="s">
        <v>741</v>
      </c>
    </row>
    <row r="305" spans="10:11" x14ac:dyDescent="0.25">
      <c r="J305" t="s">
        <v>742</v>
      </c>
      <c r="K305" t="s">
        <v>743</v>
      </c>
    </row>
    <row r="306" spans="10:11" x14ac:dyDescent="0.25">
      <c r="J306" t="s">
        <v>744</v>
      </c>
      <c r="K306" t="s">
        <v>745</v>
      </c>
    </row>
    <row r="307" spans="10:11" x14ac:dyDescent="0.25">
      <c r="J307" t="s">
        <v>1116</v>
      </c>
      <c r="K307" t="s">
        <v>1117</v>
      </c>
    </row>
    <row r="308" spans="10:11" x14ac:dyDescent="0.25">
      <c r="J308" t="s">
        <v>1093</v>
      </c>
      <c r="K308" t="s">
        <v>1094</v>
      </c>
    </row>
    <row r="309" spans="10:11" x14ac:dyDescent="0.25">
      <c r="J309" t="s">
        <v>1095</v>
      </c>
      <c r="K309" t="s">
        <v>1096</v>
      </c>
    </row>
    <row r="310" spans="10:11" x14ac:dyDescent="0.25">
      <c r="J310" t="s">
        <v>746</v>
      </c>
      <c r="K310" t="s">
        <v>747</v>
      </c>
    </row>
    <row r="311" spans="10:11" x14ac:dyDescent="0.25">
      <c r="J311" t="s">
        <v>748</v>
      </c>
      <c r="K311" t="s">
        <v>749</v>
      </c>
    </row>
    <row r="312" spans="10:11" x14ac:dyDescent="0.25">
      <c r="J312" t="s">
        <v>750</v>
      </c>
      <c r="K312" t="s">
        <v>751</v>
      </c>
    </row>
    <row r="313" spans="10:11" x14ac:dyDescent="0.25">
      <c r="J313" t="s">
        <v>752</v>
      </c>
      <c r="K313" t="s">
        <v>753</v>
      </c>
    </row>
    <row r="314" spans="10:11" x14ac:dyDescent="0.25">
      <c r="J314" t="s">
        <v>754</v>
      </c>
      <c r="K314" t="s">
        <v>755</v>
      </c>
    </row>
    <row r="315" spans="10:11" x14ac:dyDescent="0.25">
      <c r="J315" t="s">
        <v>756</v>
      </c>
      <c r="K315" t="s">
        <v>757</v>
      </c>
    </row>
    <row r="316" spans="10:11" x14ac:dyDescent="0.25">
      <c r="J316" t="s">
        <v>758</v>
      </c>
      <c r="K316" t="s">
        <v>759</v>
      </c>
    </row>
    <row r="317" spans="10:11" x14ac:dyDescent="0.25">
      <c r="J317" t="s">
        <v>760</v>
      </c>
      <c r="K317" t="s">
        <v>761</v>
      </c>
    </row>
    <row r="318" spans="10:11" x14ac:dyDescent="0.25">
      <c r="J318" t="s">
        <v>762</v>
      </c>
      <c r="K318" t="s">
        <v>763</v>
      </c>
    </row>
    <row r="319" spans="10:11" x14ac:dyDescent="0.25">
      <c r="J319" t="s">
        <v>764</v>
      </c>
      <c r="K319" t="s">
        <v>765</v>
      </c>
    </row>
    <row r="320" spans="10:11" x14ac:dyDescent="0.25">
      <c r="J320" t="s">
        <v>766</v>
      </c>
      <c r="K320" t="s">
        <v>767</v>
      </c>
    </row>
    <row r="321" spans="10:11" x14ac:dyDescent="0.25">
      <c r="J321" t="s">
        <v>768</v>
      </c>
      <c r="K321" t="s">
        <v>769</v>
      </c>
    </row>
    <row r="322" spans="10:11" x14ac:dyDescent="0.25">
      <c r="J322" t="s">
        <v>770</v>
      </c>
      <c r="K322" t="s">
        <v>771</v>
      </c>
    </row>
    <row r="323" spans="10:11" x14ac:dyDescent="0.25">
      <c r="J323" t="s">
        <v>1118</v>
      </c>
      <c r="K323" t="s">
        <v>1119</v>
      </c>
    </row>
    <row r="324" spans="10:11" x14ac:dyDescent="0.25">
      <c r="J324" t="s">
        <v>1097</v>
      </c>
      <c r="K324" t="s">
        <v>1098</v>
      </c>
    </row>
    <row r="325" spans="10:11" x14ac:dyDescent="0.25">
      <c r="J325" t="s">
        <v>772</v>
      </c>
      <c r="K325" t="s">
        <v>773</v>
      </c>
    </row>
    <row r="326" spans="10:11" x14ac:dyDescent="0.25">
      <c r="J326" t="s">
        <v>774</v>
      </c>
      <c r="K326" t="s">
        <v>775</v>
      </c>
    </row>
    <row r="327" spans="10:11" x14ac:dyDescent="0.25">
      <c r="J327" t="s">
        <v>776</v>
      </c>
      <c r="K327" t="s">
        <v>777</v>
      </c>
    </row>
    <row r="328" spans="10:11" x14ac:dyDescent="0.25">
      <c r="J328" t="s">
        <v>778</v>
      </c>
      <c r="K328" t="s">
        <v>779</v>
      </c>
    </row>
    <row r="329" spans="10:11" x14ac:dyDescent="0.25">
      <c r="J329" t="s">
        <v>780</v>
      </c>
      <c r="K329" t="s">
        <v>781</v>
      </c>
    </row>
    <row r="330" spans="10:11" x14ac:dyDescent="0.25">
      <c r="J330" t="s">
        <v>782</v>
      </c>
      <c r="K330" t="s">
        <v>783</v>
      </c>
    </row>
    <row r="331" spans="10:11" x14ac:dyDescent="0.25">
      <c r="J331" t="s">
        <v>784</v>
      </c>
      <c r="K331" t="s">
        <v>785</v>
      </c>
    </row>
    <row r="332" spans="10:11" x14ac:dyDescent="0.25">
      <c r="J332" t="s">
        <v>786</v>
      </c>
      <c r="K332" t="s">
        <v>787</v>
      </c>
    </row>
    <row r="333" spans="10:11" x14ac:dyDescent="0.25">
      <c r="J333" t="s">
        <v>788</v>
      </c>
      <c r="K333" t="s">
        <v>789</v>
      </c>
    </row>
    <row r="334" spans="10:11" x14ac:dyDescent="0.25">
      <c r="J334" t="s">
        <v>790</v>
      </c>
      <c r="K334" t="s">
        <v>791</v>
      </c>
    </row>
    <row r="335" spans="10:11" x14ac:dyDescent="0.25">
      <c r="J335" t="s">
        <v>1099</v>
      </c>
      <c r="K335" t="s">
        <v>1100</v>
      </c>
    </row>
    <row r="336" spans="10:11" x14ac:dyDescent="0.25">
      <c r="J336" t="s">
        <v>792</v>
      </c>
      <c r="K336" t="s">
        <v>793</v>
      </c>
    </row>
    <row r="337" spans="10:11" x14ac:dyDescent="0.25">
      <c r="J337" t="s">
        <v>794</v>
      </c>
      <c r="K337" t="s">
        <v>795</v>
      </c>
    </row>
    <row r="338" spans="10:11" x14ac:dyDescent="0.25">
      <c r="J338" t="s">
        <v>796</v>
      </c>
      <c r="K338" t="s">
        <v>797</v>
      </c>
    </row>
    <row r="339" spans="10:11" x14ac:dyDescent="0.25">
      <c r="J339" t="s">
        <v>798</v>
      </c>
      <c r="K339" t="s">
        <v>799</v>
      </c>
    </row>
    <row r="340" spans="10:11" x14ac:dyDescent="0.25">
      <c r="J340" t="s">
        <v>800</v>
      </c>
      <c r="K340" t="s">
        <v>801</v>
      </c>
    </row>
    <row r="341" spans="10:11" x14ac:dyDescent="0.25">
      <c r="J341" t="s">
        <v>802</v>
      </c>
      <c r="K341" t="s">
        <v>803</v>
      </c>
    </row>
    <row r="342" spans="10:11" x14ac:dyDescent="0.25">
      <c r="J342" t="s">
        <v>804</v>
      </c>
      <c r="K342" t="s">
        <v>805</v>
      </c>
    </row>
    <row r="343" spans="10:11" x14ac:dyDescent="0.25">
      <c r="J343" t="s">
        <v>806</v>
      </c>
      <c r="K343" t="s">
        <v>807</v>
      </c>
    </row>
    <row r="344" spans="10:11" x14ac:dyDescent="0.25">
      <c r="J344" t="s">
        <v>808</v>
      </c>
      <c r="K344" t="s">
        <v>809</v>
      </c>
    </row>
    <row r="345" spans="10:11" x14ac:dyDescent="0.25">
      <c r="J345" t="s">
        <v>810</v>
      </c>
      <c r="K345" t="s">
        <v>811</v>
      </c>
    </row>
    <row r="346" spans="10:11" x14ac:dyDescent="0.25">
      <c r="J346" t="s">
        <v>812</v>
      </c>
      <c r="K346" t="s">
        <v>813</v>
      </c>
    </row>
    <row r="347" spans="10:11" x14ac:dyDescent="0.25">
      <c r="J347" t="s">
        <v>814</v>
      </c>
      <c r="K347" t="s">
        <v>815</v>
      </c>
    </row>
    <row r="348" spans="10:11" x14ac:dyDescent="0.25">
      <c r="J348" t="s">
        <v>816</v>
      </c>
      <c r="K348" t="s">
        <v>817</v>
      </c>
    </row>
    <row r="349" spans="10:11" x14ac:dyDescent="0.25">
      <c r="J349" t="s">
        <v>818</v>
      </c>
      <c r="K349" t="s">
        <v>819</v>
      </c>
    </row>
    <row r="350" spans="10:11" x14ac:dyDescent="0.25">
      <c r="J350" t="s">
        <v>1120</v>
      </c>
      <c r="K350" t="s">
        <v>1121</v>
      </c>
    </row>
    <row r="351" spans="10:11" x14ac:dyDescent="0.25">
      <c r="J351" t="s">
        <v>820</v>
      </c>
      <c r="K351" t="s">
        <v>821</v>
      </c>
    </row>
    <row r="352" spans="10:11" x14ac:dyDescent="0.25">
      <c r="J352" t="s">
        <v>822</v>
      </c>
      <c r="K352" t="s">
        <v>823</v>
      </c>
    </row>
    <row r="353" spans="10:11" x14ac:dyDescent="0.25">
      <c r="J353" t="s">
        <v>824</v>
      </c>
      <c r="K353" t="s">
        <v>825</v>
      </c>
    </row>
    <row r="354" spans="10:11" x14ac:dyDescent="0.25">
      <c r="J354" t="s">
        <v>826</v>
      </c>
      <c r="K354" t="s">
        <v>827</v>
      </c>
    </row>
    <row r="355" spans="10:11" x14ac:dyDescent="0.25">
      <c r="J355" t="s">
        <v>828</v>
      </c>
      <c r="K355" t="s">
        <v>829</v>
      </c>
    </row>
    <row r="356" spans="10:11" x14ac:dyDescent="0.25">
      <c r="J356" t="s">
        <v>830</v>
      </c>
      <c r="K356" t="s">
        <v>831</v>
      </c>
    </row>
    <row r="357" spans="10:11" x14ac:dyDescent="0.25">
      <c r="J357" t="s">
        <v>832</v>
      </c>
      <c r="K357" t="s">
        <v>833</v>
      </c>
    </row>
    <row r="358" spans="10:11" x14ac:dyDescent="0.25">
      <c r="J358" t="s">
        <v>834</v>
      </c>
      <c r="K358" t="s">
        <v>835</v>
      </c>
    </row>
    <row r="359" spans="10:11" x14ac:dyDescent="0.25">
      <c r="J359" t="s">
        <v>836</v>
      </c>
      <c r="K359" t="s">
        <v>837</v>
      </c>
    </row>
    <row r="360" spans="10:11" x14ac:dyDescent="0.25">
      <c r="J360" t="s">
        <v>838</v>
      </c>
      <c r="K360" t="s">
        <v>839</v>
      </c>
    </row>
    <row r="361" spans="10:11" x14ac:dyDescent="0.25">
      <c r="J361" t="s">
        <v>840</v>
      </c>
      <c r="K361" t="s">
        <v>841</v>
      </c>
    </row>
    <row r="362" spans="10:11" x14ac:dyDescent="0.25">
      <c r="J362" t="s">
        <v>842</v>
      </c>
      <c r="K362" t="s">
        <v>843</v>
      </c>
    </row>
    <row r="363" spans="10:11" x14ac:dyDescent="0.25">
      <c r="J363" t="s">
        <v>844</v>
      </c>
      <c r="K363" t="s">
        <v>845</v>
      </c>
    </row>
    <row r="364" spans="10:11" x14ac:dyDescent="0.25">
      <c r="J364" t="s">
        <v>846</v>
      </c>
      <c r="K364" t="s">
        <v>847</v>
      </c>
    </row>
    <row r="365" spans="10:11" x14ac:dyDescent="0.25">
      <c r="J365" t="s">
        <v>848</v>
      </c>
      <c r="K365" t="s">
        <v>849</v>
      </c>
    </row>
    <row r="366" spans="10:11" x14ac:dyDescent="0.25">
      <c r="J366" t="s">
        <v>850</v>
      </c>
      <c r="K366" t="s">
        <v>851</v>
      </c>
    </row>
    <row r="367" spans="10:11" x14ac:dyDescent="0.25">
      <c r="J367" t="s">
        <v>852</v>
      </c>
      <c r="K367" t="s">
        <v>853</v>
      </c>
    </row>
    <row r="368" spans="10:11" x14ac:dyDescent="0.25">
      <c r="J368" t="s">
        <v>854</v>
      </c>
      <c r="K368" t="s">
        <v>855</v>
      </c>
    </row>
    <row r="369" spans="10:11" x14ac:dyDescent="0.25">
      <c r="J369" t="s">
        <v>856</v>
      </c>
      <c r="K369" t="s">
        <v>857</v>
      </c>
    </row>
    <row r="370" spans="10:11" x14ac:dyDescent="0.25">
      <c r="J370" t="s">
        <v>858</v>
      </c>
      <c r="K370" t="s">
        <v>859</v>
      </c>
    </row>
    <row r="371" spans="10:11" x14ac:dyDescent="0.25">
      <c r="J371" t="s">
        <v>860</v>
      </c>
      <c r="K371" t="s">
        <v>861</v>
      </c>
    </row>
    <row r="372" spans="10:11" x14ac:dyDescent="0.25">
      <c r="J372" t="s">
        <v>862</v>
      </c>
      <c r="K372" t="s">
        <v>863</v>
      </c>
    </row>
    <row r="373" spans="10:11" x14ac:dyDescent="0.25">
      <c r="J373" t="s">
        <v>864</v>
      </c>
      <c r="K373" t="s">
        <v>865</v>
      </c>
    </row>
    <row r="374" spans="10:11" x14ac:dyDescent="0.25">
      <c r="J374" t="s">
        <v>866</v>
      </c>
      <c r="K374" t="s">
        <v>867</v>
      </c>
    </row>
    <row r="375" spans="10:11" x14ac:dyDescent="0.25">
      <c r="J375" t="s">
        <v>868</v>
      </c>
      <c r="K375" t="s">
        <v>869</v>
      </c>
    </row>
    <row r="376" spans="10:11" x14ac:dyDescent="0.25">
      <c r="J376" t="s">
        <v>870</v>
      </c>
      <c r="K376" t="s">
        <v>871</v>
      </c>
    </row>
    <row r="377" spans="10:11" x14ac:dyDescent="0.25">
      <c r="J377" t="s">
        <v>872</v>
      </c>
      <c r="K377" t="s">
        <v>873</v>
      </c>
    </row>
    <row r="378" spans="10:11" x14ac:dyDescent="0.25">
      <c r="J378" t="s">
        <v>874</v>
      </c>
      <c r="K378" t="s">
        <v>875</v>
      </c>
    </row>
    <row r="379" spans="10:11" x14ac:dyDescent="0.25">
      <c r="J379" t="s">
        <v>876</v>
      </c>
      <c r="K379" t="s">
        <v>877</v>
      </c>
    </row>
    <row r="380" spans="10:11" x14ac:dyDescent="0.25">
      <c r="J380" t="s">
        <v>878</v>
      </c>
      <c r="K380" t="s">
        <v>879</v>
      </c>
    </row>
    <row r="381" spans="10:11" x14ac:dyDescent="0.25">
      <c r="J381" t="s">
        <v>880</v>
      </c>
      <c r="K381" t="s">
        <v>881</v>
      </c>
    </row>
    <row r="382" spans="10:11" x14ac:dyDescent="0.25">
      <c r="J382" t="s">
        <v>882</v>
      </c>
      <c r="K382" t="s">
        <v>883</v>
      </c>
    </row>
    <row r="383" spans="10:11" x14ac:dyDescent="0.25">
      <c r="J383" t="s">
        <v>884</v>
      </c>
      <c r="K383" t="s">
        <v>885</v>
      </c>
    </row>
    <row r="384" spans="10:11" x14ac:dyDescent="0.25">
      <c r="J384" t="s">
        <v>886</v>
      </c>
      <c r="K384" t="s">
        <v>887</v>
      </c>
    </row>
    <row r="385" spans="10:11" x14ac:dyDescent="0.25">
      <c r="J385" t="s">
        <v>888</v>
      </c>
      <c r="K385" t="s">
        <v>889</v>
      </c>
    </row>
    <row r="386" spans="10:11" x14ac:dyDescent="0.25">
      <c r="J386" t="s">
        <v>890</v>
      </c>
      <c r="K386" t="s">
        <v>891</v>
      </c>
    </row>
    <row r="387" spans="10:11" x14ac:dyDescent="0.25">
      <c r="J387" t="s">
        <v>892</v>
      </c>
      <c r="K387" t="s">
        <v>893</v>
      </c>
    </row>
    <row r="388" spans="10:11" x14ac:dyDescent="0.25">
      <c r="J388" t="s">
        <v>894</v>
      </c>
      <c r="K388" t="s">
        <v>895</v>
      </c>
    </row>
    <row r="389" spans="10:11" x14ac:dyDescent="0.25">
      <c r="J389" t="s">
        <v>896</v>
      </c>
      <c r="K389" t="s">
        <v>897</v>
      </c>
    </row>
    <row r="390" spans="10:11" x14ac:dyDescent="0.25">
      <c r="J390" t="s">
        <v>898</v>
      </c>
      <c r="K390" t="s">
        <v>899</v>
      </c>
    </row>
    <row r="391" spans="10:11" x14ac:dyDescent="0.25">
      <c r="J391" t="s">
        <v>900</v>
      </c>
      <c r="K391" t="s">
        <v>901</v>
      </c>
    </row>
    <row r="392" spans="10:11" x14ac:dyDescent="0.25">
      <c r="J392" t="s">
        <v>902</v>
      </c>
      <c r="K392" t="s">
        <v>903</v>
      </c>
    </row>
    <row r="393" spans="10:11" x14ac:dyDescent="0.25">
      <c r="J393" t="s">
        <v>904</v>
      </c>
      <c r="K393" t="s">
        <v>905</v>
      </c>
    </row>
    <row r="394" spans="10:11" x14ac:dyDescent="0.25">
      <c r="J394" t="s">
        <v>906</v>
      </c>
      <c r="K394" t="s">
        <v>907</v>
      </c>
    </row>
    <row r="395" spans="10:11" x14ac:dyDescent="0.25">
      <c r="J395" t="s">
        <v>908</v>
      </c>
      <c r="K395" t="s">
        <v>909</v>
      </c>
    </row>
    <row r="396" spans="10:11" x14ac:dyDescent="0.25">
      <c r="J396" t="s">
        <v>910</v>
      </c>
      <c r="K396" t="s">
        <v>911</v>
      </c>
    </row>
    <row r="397" spans="10:11" x14ac:dyDescent="0.25">
      <c r="J397" t="s">
        <v>912</v>
      </c>
      <c r="K397" t="s">
        <v>913</v>
      </c>
    </row>
    <row r="398" spans="10:11" x14ac:dyDescent="0.25">
      <c r="J398" t="s">
        <v>914</v>
      </c>
      <c r="K398" t="s">
        <v>915</v>
      </c>
    </row>
    <row r="399" spans="10:11" x14ac:dyDescent="0.25">
      <c r="J399" t="s">
        <v>916</v>
      </c>
      <c r="K399" t="s">
        <v>917</v>
      </c>
    </row>
    <row r="400" spans="10:11" x14ac:dyDescent="0.25">
      <c r="J400" t="s">
        <v>918</v>
      </c>
      <c r="K400" t="s">
        <v>919</v>
      </c>
    </row>
    <row r="401" spans="10:11" x14ac:dyDescent="0.25">
      <c r="J401" t="s">
        <v>920</v>
      </c>
      <c r="K401" t="s">
        <v>921</v>
      </c>
    </row>
    <row r="402" spans="10:11" x14ac:dyDescent="0.25">
      <c r="J402" t="s">
        <v>922</v>
      </c>
      <c r="K402" t="s">
        <v>923</v>
      </c>
    </row>
    <row r="403" spans="10:11" x14ac:dyDescent="0.25">
      <c r="J403" t="s">
        <v>924</v>
      </c>
      <c r="K403" t="s">
        <v>925</v>
      </c>
    </row>
    <row r="404" spans="10:11" x14ac:dyDescent="0.25">
      <c r="J404" t="s">
        <v>926</v>
      </c>
      <c r="K404" t="s">
        <v>927</v>
      </c>
    </row>
    <row r="405" spans="10:11" x14ac:dyDescent="0.25">
      <c r="J405" t="s">
        <v>928</v>
      </c>
      <c r="K405" t="s">
        <v>929</v>
      </c>
    </row>
    <row r="406" spans="10:11" x14ac:dyDescent="0.25">
      <c r="J406" t="s">
        <v>930</v>
      </c>
      <c r="K406" t="s">
        <v>931</v>
      </c>
    </row>
    <row r="407" spans="10:11" x14ac:dyDescent="0.25">
      <c r="J407" t="s">
        <v>932</v>
      </c>
      <c r="K407" t="s">
        <v>933</v>
      </c>
    </row>
    <row r="408" spans="10:11" x14ac:dyDescent="0.25">
      <c r="J408" t="s">
        <v>934</v>
      </c>
      <c r="K408" t="s">
        <v>935</v>
      </c>
    </row>
    <row r="409" spans="10:11" x14ac:dyDescent="0.25">
      <c r="J409" t="s">
        <v>936</v>
      </c>
      <c r="K409" t="s">
        <v>937</v>
      </c>
    </row>
    <row r="410" spans="10:11" x14ac:dyDescent="0.25">
      <c r="J410" t="s">
        <v>938</v>
      </c>
      <c r="K410" t="s">
        <v>939</v>
      </c>
    </row>
    <row r="411" spans="10:11" x14ac:dyDescent="0.25">
      <c r="J411" t="s">
        <v>940</v>
      </c>
      <c r="K411" t="s">
        <v>941</v>
      </c>
    </row>
    <row r="412" spans="10:11" x14ac:dyDescent="0.25">
      <c r="J412" t="s">
        <v>942</v>
      </c>
      <c r="K412" t="s">
        <v>943</v>
      </c>
    </row>
    <row r="413" spans="10:11" x14ac:dyDescent="0.25">
      <c r="J413" t="s">
        <v>944</v>
      </c>
      <c r="K413" t="s">
        <v>945</v>
      </c>
    </row>
    <row r="414" spans="10:11" x14ac:dyDescent="0.25">
      <c r="J414" t="s">
        <v>946</v>
      </c>
      <c r="K414" t="s">
        <v>947</v>
      </c>
    </row>
    <row r="415" spans="10:11" x14ac:dyDescent="0.25">
      <c r="J415" t="s">
        <v>948</v>
      </c>
      <c r="K415" t="s">
        <v>949</v>
      </c>
    </row>
    <row r="416" spans="10:11" x14ac:dyDescent="0.25">
      <c r="J416" t="s">
        <v>950</v>
      </c>
      <c r="K416" t="s">
        <v>951</v>
      </c>
    </row>
    <row r="417" spans="10:11" x14ac:dyDescent="0.25">
      <c r="J417" t="s">
        <v>952</v>
      </c>
      <c r="K417" t="s">
        <v>953</v>
      </c>
    </row>
    <row r="418" spans="10:11" x14ac:dyDescent="0.25">
      <c r="J418" t="s">
        <v>954</v>
      </c>
      <c r="K418" t="s">
        <v>955</v>
      </c>
    </row>
    <row r="419" spans="10:11" x14ac:dyDescent="0.25">
      <c r="J419" t="s">
        <v>956</v>
      </c>
      <c r="K419" t="s">
        <v>957</v>
      </c>
    </row>
    <row r="420" spans="10:11" x14ac:dyDescent="0.25">
      <c r="J420" t="s">
        <v>958</v>
      </c>
      <c r="K420" t="s">
        <v>959</v>
      </c>
    </row>
    <row r="421" spans="10:11" x14ac:dyDescent="0.25">
      <c r="J421" t="s">
        <v>960</v>
      </c>
      <c r="K421" t="s">
        <v>961</v>
      </c>
    </row>
    <row r="422" spans="10:11" x14ac:dyDescent="0.25">
      <c r="J422" t="s">
        <v>962</v>
      </c>
      <c r="K422" t="s">
        <v>963</v>
      </c>
    </row>
    <row r="423" spans="10:11" x14ac:dyDescent="0.25">
      <c r="J423" t="s">
        <v>964</v>
      </c>
      <c r="K423" t="s">
        <v>965</v>
      </c>
    </row>
    <row r="424" spans="10:11" x14ac:dyDescent="0.25">
      <c r="J424" t="s">
        <v>966</v>
      </c>
      <c r="K424" t="s">
        <v>967</v>
      </c>
    </row>
    <row r="425" spans="10:11" x14ac:dyDescent="0.25">
      <c r="J425" t="s">
        <v>968</v>
      </c>
      <c r="K425" t="s">
        <v>969</v>
      </c>
    </row>
    <row r="426" spans="10:11" x14ac:dyDescent="0.25">
      <c r="J426" t="s">
        <v>970</v>
      </c>
      <c r="K426" t="s">
        <v>971</v>
      </c>
    </row>
    <row r="427" spans="10:11" x14ac:dyDescent="0.25">
      <c r="J427" t="s">
        <v>972</v>
      </c>
      <c r="K427" t="s">
        <v>973</v>
      </c>
    </row>
    <row r="428" spans="10:11" x14ac:dyDescent="0.25">
      <c r="J428" t="s">
        <v>974</v>
      </c>
      <c r="K428" t="s">
        <v>975</v>
      </c>
    </row>
    <row r="429" spans="10:11" x14ac:dyDescent="0.25">
      <c r="J429" t="s">
        <v>976</v>
      </c>
      <c r="K429" t="s">
        <v>977</v>
      </c>
    </row>
    <row r="430" spans="10:11" x14ac:dyDescent="0.25">
      <c r="J430" t="s">
        <v>978</v>
      </c>
      <c r="K430" t="s">
        <v>979</v>
      </c>
    </row>
    <row r="431" spans="10:11" x14ac:dyDescent="0.25">
      <c r="J431" t="s">
        <v>980</v>
      </c>
      <c r="K431" t="s">
        <v>981</v>
      </c>
    </row>
    <row r="432" spans="10:11" x14ac:dyDescent="0.25">
      <c r="J432" t="s">
        <v>982</v>
      </c>
      <c r="K432" t="s">
        <v>983</v>
      </c>
    </row>
    <row r="433" spans="10:11" x14ac:dyDescent="0.25">
      <c r="J433" t="s">
        <v>984</v>
      </c>
      <c r="K433" t="s">
        <v>985</v>
      </c>
    </row>
    <row r="434" spans="10:11" x14ac:dyDescent="0.25">
      <c r="J434" t="s">
        <v>986</v>
      </c>
      <c r="K434" t="s">
        <v>987</v>
      </c>
    </row>
    <row r="435" spans="10:11" x14ac:dyDescent="0.25">
      <c r="J435" t="s">
        <v>988</v>
      </c>
      <c r="K435" t="s">
        <v>989</v>
      </c>
    </row>
    <row r="436" spans="10:11" x14ac:dyDescent="0.25">
      <c r="J436" t="s">
        <v>990</v>
      </c>
      <c r="K436" t="s">
        <v>991</v>
      </c>
    </row>
    <row r="437" spans="10:11" x14ac:dyDescent="0.25">
      <c r="J437" t="s">
        <v>992</v>
      </c>
      <c r="K437" t="s">
        <v>993</v>
      </c>
    </row>
    <row r="438" spans="10:11" x14ac:dyDescent="0.25">
      <c r="J438" t="s">
        <v>994</v>
      </c>
      <c r="K438" t="s">
        <v>995</v>
      </c>
    </row>
    <row r="439" spans="10:11" x14ac:dyDescent="0.25">
      <c r="J439" t="s">
        <v>996</v>
      </c>
      <c r="K439" t="s">
        <v>997</v>
      </c>
    </row>
    <row r="440" spans="10:11" x14ac:dyDescent="0.25">
      <c r="J440" t="s">
        <v>998</v>
      </c>
      <c r="K440" t="s">
        <v>999</v>
      </c>
    </row>
    <row r="441" spans="10:11" x14ac:dyDescent="0.25">
      <c r="J441" t="s">
        <v>1000</v>
      </c>
      <c r="K441" t="s">
        <v>1001</v>
      </c>
    </row>
    <row r="442" spans="10:11" x14ac:dyDescent="0.25">
      <c r="J442" t="s">
        <v>1002</v>
      </c>
      <c r="K442" t="s">
        <v>1003</v>
      </c>
    </row>
    <row r="443" spans="10:11" x14ac:dyDescent="0.25">
      <c r="J443" t="s">
        <v>1004</v>
      </c>
      <c r="K443" t="s">
        <v>1005</v>
      </c>
    </row>
    <row r="444" spans="10:11" x14ac:dyDescent="0.25">
      <c r="J444" t="s">
        <v>1006</v>
      </c>
      <c r="K444" t="s">
        <v>1007</v>
      </c>
    </row>
    <row r="445" spans="10:11" x14ac:dyDescent="0.25">
      <c r="J445" t="s">
        <v>1008</v>
      </c>
      <c r="K445" t="s">
        <v>1009</v>
      </c>
    </row>
    <row r="446" spans="10:11" x14ac:dyDescent="0.25">
      <c r="J446" t="s">
        <v>1010</v>
      </c>
      <c r="K446" t="s">
        <v>1011</v>
      </c>
    </row>
    <row r="447" spans="10:11" x14ac:dyDescent="0.25">
      <c r="J447" t="s">
        <v>1012</v>
      </c>
      <c r="K447" t="s">
        <v>1013</v>
      </c>
    </row>
    <row r="448" spans="10:11" x14ac:dyDescent="0.25">
      <c r="J448" t="s">
        <v>1014</v>
      </c>
      <c r="K448" t="s">
        <v>1015</v>
      </c>
    </row>
    <row r="449" spans="10:11" x14ac:dyDescent="0.25">
      <c r="J449" t="s">
        <v>1016</v>
      </c>
      <c r="K449" t="s">
        <v>1017</v>
      </c>
    </row>
    <row r="450" spans="10:11" x14ac:dyDescent="0.25">
      <c r="J450" t="s">
        <v>1018</v>
      </c>
      <c r="K450" t="s">
        <v>1019</v>
      </c>
    </row>
    <row r="451" spans="10:11" x14ac:dyDescent="0.25">
      <c r="J451" t="s">
        <v>1020</v>
      </c>
      <c r="K451" t="s">
        <v>1021</v>
      </c>
    </row>
    <row r="452" spans="10:11" x14ac:dyDescent="0.25">
      <c r="J452" t="s">
        <v>1022</v>
      </c>
      <c r="K452" t="s">
        <v>1023</v>
      </c>
    </row>
    <row r="453" spans="10:11" x14ac:dyDescent="0.25">
      <c r="J453" t="s">
        <v>1024</v>
      </c>
      <c r="K453" t="s">
        <v>1025</v>
      </c>
    </row>
    <row r="454" spans="10:11" x14ac:dyDescent="0.25">
      <c r="J454" t="s">
        <v>1026</v>
      </c>
      <c r="K454" t="s">
        <v>1027</v>
      </c>
    </row>
    <row r="455" spans="10:11" x14ac:dyDescent="0.25">
      <c r="J455" t="s">
        <v>1028</v>
      </c>
      <c r="K455" t="s">
        <v>1029</v>
      </c>
    </row>
    <row r="456" spans="10:11" x14ac:dyDescent="0.25">
      <c r="J456" t="s">
        <v>1030</v>
      </c>
      <c r="K456" t="s">
        <v>1031</v>
      </c>
    </row>
    <row r="457" spans="10:11" x14ac:dyDescent="0.25">
      <c r="J457" t="s">
        <v>1032</v>
      </c>
      <c r="K457" t="s">
        <v>1033</v>
      </c>
    </row>
    <row r="458" spans="10:11" x14ac:dyDescent="0.25">
      <c r="J458" t="s">
        <v>1101</v>
      </c>
      <c r="K458" t="s">
        <v>1102</v>
      </c>
    </row>
    <row r="459" spans="10:11" x14ac:dyDescent="0.25">
      <c r="J459" t="s">
        <v>1034</v>
      </c>
      <c r="K459" t="s">
        <v>1035</v>
      </c>
    </row>
    <row r="460" spans="10:11" x14ac:dyDescent="0.25">
      <c r="J460" t="s">
        <v>1036</v>
      </c>
      <c r="K460" t="s">
        <v>1037</v>
      </c>
    </row>
    <row r="461" spans="10:11" x14ac:dyDescent="0.25">
      <c r="J461" t="s">
        <v>1038</v>
      </c>
      <c r="K461" t="s">
        <v>1039</v>
      </c>
    </row>
    <row r="462" spans="10:11" x14ac:dyDescent="0.25">
      <c r="J462" t="s">
        <v>1040</v>
      </c>
      <c r="K462" t="s">
        <v>1041</v>
      </c>
    </row>
    <row r="463" spans="10:11" x14ac:dyDescent="0.25">
      <c r="J463" t="s">
        <v>1042</v>
      </c>
      <c r="K463" t="s">
        <v>1043</v>
      </c>
    </row>
    <row r="464" spans="10:11" x14ac:dyDescent="0.25">
      <c r="J464" t="s">
        <v>1044</v>
      </c>
      <c r="K464" t="s">
        <v>1045</v>
      </c>
    </row>
    <row r="465" spans="10:11" x14ac:dyDescent="0.25">
      <c r="J465" t="s">
        <v>1046</v>
      </c>
      <c r="K465" t="s">
        <v>1047</v>
      </c>
    </row>
    <row r="466" spans="10:11" x14ac:dyDescent="0.25">
      <c r="J466" t="s">
        <v>1048</v>
      </c>
      <c r="K466" t="s">
        <v>1049</v>
      </c>
    </row>
    <row r="467" spans="10:11" x14ac:dyDescent="0.25">
      <c r="J467" t="s">
        <v>1050</v>
      </c>
      <c r="K467" t="s">
        <v>1051</v>
      </c>
    </row>
    <row r="468" spans="10:11" x14ac:dyDescent="0.25">
      <c r="J468" t="s">
        <v>64</v>
      </c>
      <c r="K468" t="s">
        <v>66</v>
      </c>
    </row>
    <row r="469" spans="10:11" x14ac:dyDescent="0.25">
      <c r="J469" t="s">
        <v>72</v>
      </c>
      <c r="K469" t="s">
        <v>74</v>
      </c>
    </row>
    <row r="470" spans="10:11" x14ac:dyDescent="0.25">
      <c r="J470" t="s">
        <v>80</v>
      </c>
      <c r="K470" t="s">
        <v>82</v>
      </c>
    </row>
    <row r="471" spans="10:11" x14ac:dyDescent="0.25">
      <c r="J471" t="s">
        <v>96</v>
      </c>
      <c r="K471" t="s">
        <v>97</v>
      </c>
    </row>
    <row r="472" spans="10:11" x14ac:dyDescent="0.25">
      <c r="J472" t="s">
        <v>102</v>
      </c>
      <c r="K472" t="s">
        <v>103</v>
      </c>
    </row>
    <row r="473" spans="10:11" x14ac:dyDescent="0.25">
      <c r="J473" t="s">
        <v>109</v>
      </c>
      <c r="K473" t="s">
        <v>111</v>
      </c>
    </row>
    <row r="474" spans="10:11" x14ac:dyDescent="0.25">
      <c r="J474" t="s">
        <v>113</v>
      </c>
      <c r="K474" t="s">
        <v>114</v>
      </c>
    </row>
    <row r="475" spans="10:11" x14ac:dyDescent="0.25">
      <c r="J475" t="s">
        <v>116</v>
      </c>
      <c r="K475" t="s">
        <v>117</v>
      </c>
    </row>
    <row r="476" spans="10:11" x14ac:dyDescent="0.25">
      <c r="J476" t="s">
        <v>122</v>
      </c>
      <c r="K476" t="s">
        <v>123</v>
      </c>
    </row>
    <row r="477" spans="10:11" x14ac:dyDescent="0.25">
      <c r="J477" t="s">
        <v>1052</v>
      </c>
      <c r="K477" t="s">
        <v>1053</v>
      </c>
    </row>
    <row r="478" spans="10:11" x14ac:dyDescent="0.25">
      <c r="J478" t="s">
        <v>127</v>
      </c>
      <c r="K478" t="s">
        <v>128</v>
      </c>
    </row>
    <row r="479" spans="10:11" x14ac:dyDescent="0.25">
      <c r="J479" t="s">
        <v>139</v>
      </c>
      <c r="K479" t="s">
        <v>140</v>
      </c>
    </row>
    <row r="480" spans="10:11" x14ac:dyDescent="0.25">
      <c r="J480" t="s">
        <v>145</v>
      </c>
      <c r="K480" t="s">
        <v>147</v>
      </c>
    </row>
    <row r="481" spans="10:11" x14ac:dyDescent="0.25">
      <c r="J481" t="s">
        <v>151</v>
      </c>
      <c r="K481" t="s">
        <v>152</v>
      </c>
    </row>
    <row r="482" spans="10:11" x14ac:dyDescent="0.25">
      <c r="J482" t="s">
        <v>1054</v>
      </c>
      <c r="K482" t="s">
        <v>1055</v>
      </c>
    </row>
    <row r="483" spans="10:11" x14ac:dyDescent="0.25">
      <c r="J483" t="s">
        <v>1056</v>
      </c>
      <c r="K483" t="s">
        <v>1057</v>
      </c>
    </row>
    <row r="484" spans="10:11" x14ac:dyDescent="0.25">
      <c r="J484" t="s">
        <v>1058</v>
      </c>
      <c r="K484" t="s">
        <v>1059</v>
      </c>
    </row>
    <row r="485" spans="10:11" x14ac:dyDescent="0.25">
      <c r="J485" t="s">
        <v>1060</v>
      </c>
      <c r="K485" t="s">
        <v>1061</v>
      </c>
    </row>
    <row r="486" spans="10:11" x14ac:dyDescent="0.25">
      <c r="J486" t="s">
        <v>1062</v>
      </c>
      <c r="K486" t="s">
        <v>1063</v>
      </c>
    </row>
    <row r="487" spans="10:11" x14ac:dyDescent="0.25">
      <c r="J487" t="s">
        <v>1064</v>
      </c>
      <c r="K487" t="s">
        <v>1065</v>
      </c>
    </row>
    <row r="488" spans="10:11" x14ac:dyDescent="0.25">
      <c r="J488" t="s">
        <v>1066</v>
      </c>
      <c r="K488" t="s">
        <v>1067</v>
      </c>
    </row>
    <row r="489" spans="10:11" x14ac:dyDescent="0.25">
      <c r="J489" t="s">
        <v>1068</v>
      </c>
      <c r="K489" t="s">
        <v>1069</v>
      </c>
    </row>
    <row r="490" spans="10:11" x14ac:dyDescent="0.25">
      <c r="J490" t="s">
        <v>1070</v>
      </c>
      <c r="K490" t="s">
        <v>1071</v>
      </c>
    </row>
    <row r="491" spans="10:11" x14ac:dyDescent="0.25">
      <c r="J491" t="s">
        <v>1072</v>
      </c>
      <c r="K491" t="s">
        <v>1073</v>
      </c>
    </row>
    <row r="492" spans="10:11" x14ac:dyDescent="0.25">
      <c r="J492" t="s">
        <v>1074</v>
      </c>
      <c r="K492" t="s">
        <v>1075</v>
      </c>
    </row>
    <row r="493" spans="10:11" x14ac:dyDescent="0.25">
      <c r="J493" t="s">
        <v>1076</v>
      </c>
      <c r="K493" t="s">
        <v>1077</v>
      </c>
    </row>
    <row r="494" spans="10:11" x14ac:dyDescent="0.25">
      <c r="J494" t="s">
        <v>688</v>
      </c>
      <c r="K494" t="s">
        <v>1078</v>
      </c>
    </row>
    <row r="495" spans="10:11" x14ac:dyDescent="0.25">
      <c r="J495" t="s">
        <v>1079</v>
      </c>
      <c r="K495" t="s">
        <v>1080</v>
      </c>
    </row>
    <row r="496" spans="10:11" x14ac:dyDescent="0.25">
      <c r="J496" t="s">
        <v>1081</v>
      </c>
      <c r="K496" t="s">
        <v>1082</v>
      </c>
    </row>
  </sheetData>
  <phoneticPr fontId="5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FE84-DDE6-45D3-A1AE-8AEF75A1E7A9}">
  <dimension ref="B1:F500"/>
  <sheetViews>
    <sheetView workbookViewId="0">
      <selection activeCell="A2" sqref="A2"/>
    </sheetView>
  </sheetViews>
  <sheetFormatPr defaultRowHeight="15" x14ac:dyDescent="0.25"/>
  <cols>
    <col min="1" max="1" width="9.140625" style="10"/>
    <col min="2" max="2" width="18.28515625" style="27" bestFit="1" customWidth="1"/>
    <col min="3" max="3" width="9.140625" style="27"/>
    <col min="4" max="4" width="21.5703125" style="27" bestFit="1" customWidth="1"/>
    <col min="5" max="16384" width="9.140625" style="10"/>
  </cols>
  <sheetData>
    <row r="1" spans="2:6" x14ac:dyDescent="0.25">
      <c r="B1" s="27" t="str" cm="1">
        <f t="array" ref="B1:B500">IF(STATEMENT_DATA[TRANSACTION DATE]=0,"",STATEMENT_DATA[TRANSACTION DATE])</f>
        <v/>
      </c>
      <c r="C1" s="27" t="str" cm="1">
        <f t="array" ref="C1:C500">IF(STATEMENT_DATA[AMOUNT]=0,"",STATEMENT_DATA[AMOUNT])</f>
        <v/>
      </c>
      <c r="D1" s="27" t="str" cm="1">
        <f t="array" ref="D1:D500">IF(STATEMENT_DATA[PAYEE]=0,"",STATEMENT_DATA[PAYEE])</f>
        <v/>
      </c>
      <c r="F1"/>
    </row>
    <row r="2" spans="2:6" x14ac:dyDescent="0.25">
      <c r="B2" s="27" t="str">
        <v/>
      </c>
      <c r="C2" s="27" t="str">
        <v/>
      </c>
      <c r="D2" s="27" t="str">
        <v/>
      </c>
    </row>
    <row r="3" spans="2:6" x14ac:dyDescent="0.25">
      <c r="B3" s="27" t="str">
        <v/>
      </c>
      <c r="C3" s="27" t="str">
        <v/>
      </c>
      <c r="D3" s="27" t="str">
        <v/>
      </c>
    </row>
    <row r="4" spans="2:6" x14ac:dyDescent="0.25">
      <c r="B4" s="27" t="str">
        <v/>
      </c>
      <c r="C4" s="27" t="str">
        <v/>
      </c>
      <c r="D4" s="27" t="str">
        <v/>
      </c>
    </row>
    <row r="5" spans="2:6" x14ac:dyDescent="0.25">
      <c r="B5" s="27" t="str">
        <v/>
      </c>
      <c r="C5" s="27" t="str">
        <v/>
      </c>
      <c r="D5" s="27" t="str">
        <v/>
      </c>
    </row>
    <row r="6" spans="2:6" x14ac:dyDescent="0.25">
      <c r="B6" s="27" t="str">
        <v/>
      </c>
      <c r="C6" s="27" t="str">
        <v/>
      </c>
      <c r="D6" s="27" t="str">
        <v/>
      </c>
    </row>
    <row r="7" spans="2:6" x14ac:dyDescent="0.25">
      <c r="B7" s="27" t="str">
        <v/>
      </c>
      <c r="C7" s="27" t="str">
        <v/>
      </c>
      <c r="D7" s="27" t="str">
        <v/>
      </c>
    </row>
    <row r="8" spans="2:6" x14ac:dyDescent="0.25">
      <c r="B8" s="27" t="str">
        <v/>
      </c>
      <c r="C8" s="27" t="str">
        <v/>
      </c>
      <c r="D8" s="27" t="str">
        <v/>
      </c>
    </row>
    <row r="9" spans="2:6" x14ac:dyDescent="0.25">
      <c r="B9" s="27" t="str">
        <v/>
      </c>
      <c r="C9" s="27" t="str">
        <v/>
      </c>
      <c r="D9" s="27" t="str">
        <v/>
      </c>
    </row>
    <row r="10" spans="2:6" x14ac:dyDescent="0.25">
      <c r="B10" s="27" t="str">
        <v/>
      </c>
      <c r="C10" s="27" t="str">
        <v/>
      </c>
      <c r="D10" s="27" t="str">
        <v/>
      </c>
    </row>
    <row r="11" spans="2:6" x14ac:dyDescent="0.25">
      <c r="B11" s="27" t="str">
        <v/>
      </c>
      <c r="C11" s="27" t="str">
        <v/>
      </c>
      <c r="D11" s="27" t="str">
        <v/>
      </c>
    </row>
    <row r="12" spans="2:6" x14ac:dyDescent="0.25">
      <c r="B12" s="27" t="str">
        <v/>
      </c>
      <c r="C12" s="27" t="str">
        <v/>
      </c>
      <c r="D12" s="27" t="str">
        <v/>
      </c>
    </row>
    <row r="13" spans="2:6" x14ac:dyDescent="0.25">
      <c r="B13" s="27" t="str">
        <v/>
      </c>
      <c r="C13" s="27" t="str">
        <v/>
      </c>
      <c r="D13" s="27" t="str">
        <v/>
      </c>
    </row>
    <row r="14" spans="2:6" x14ac:dyDescent="0.25">
      <c r="B14" s="27" t="str">
        <v/>
      </c>
      <c r="C14" s="27" t="str">
        <v/>
      </c>
      <c r="D14" s="27" t="str">
        <v/>
      </c>
    </row>
    <row r="15" spans="2:6" x14ac:dyDescent="0.25">
      <c r="B15" s="27" t="str">
        <v/>
      </c>
      <c r="C15" s="27" t="str">
        <v/>
      </c>
      <c r="D15" s="27" t="str">
        <v/>
      </c>
    </row>
    <row r="16" spans="2:6" x14ac:dyDescent="0.25">
      <c r="B16" s="27" t="str">
        <v/>
      </c>
      <c r="C16" s="27" t="str">
        <v/>
      </c>
      <c r="D16" s="27" t="str">
        <v/>
      </c>
    </row>
    <row r="17" spans="2:4" x14ac:dyDescent="0.25">
      <c r="B17" s="27" t="str">
        <v/>
      </c>
      <c r="C17" s="27" t="str">
        <v/>
      </c>
      <c r="D17" s="27" t="str">
        <v/>
      </c>
    </row>
    <row r="18" spans="2:4" x14ac:dyDescent="0.25">
      <c r="B18" s="27" t="str">
        <v/>
      </c>
      <c r="C18" s="27" t="str">
        <v/>
      </c>
      <c r="D18" s="27" t="str">
        <v/>
      </c>
    </row>
    <row r="19" spans="2:4" x14ac:dyDescent="0.25">
      <c r="B19" s="27" t="str">
        <v/>
      </c>
      <c r="C19" s="27" t="str">
        <v/>
      </c>
      <c r="D19" s="27" t="str">
        <v/>
      </c>
    </row>
    <row r="20" spans="2:4" x14ac:dyDescent="0.25">
      <c r="B20" s="27" t="str">
        <v/>
      </c>
      <c r="C20" s="27" t="str">
        <v/>
      </c>
      <c r="D20" s="27" t="str">
        <v/>
      </c>
    </row>
    <row r="21" spans="2:4" x14ac:dyDescent="0.25">
      <c r="B21" s="27" t="str">
        <v/>
      </c>
      <c r="C21" s="27" t="str">
        <v/>
      </c>
      <c r="D21" s="27" t="str">
        <v/>
      </c>
    </row>
    <row r="22" spans="2:4" x14ac:dyDescent="0.25">
      <c r="B22" s="27" t="str">
        <v/>
      </c>
      <c r="C22" s="27" t="str">
        <v/>
      </c>
      <c r="D22" s="27" t="str">
        <v/>
      </c>
    </row>
    <row r="23" spans="2:4" x14ac:dyDescent="0.25">
      <c r="B23" s="27" t="str">
        <v/>
      </c>
      <c r="C23" s="27" t="str">
        <v/>
      </c>
      <c r="D23" s="27" t="str">
        <v/>
      </c>
    </row>
    <row r="24" spans="2:4" x14ac:dyDescent="0.25">
      <c r="B24" s="27" t="str">
        <v/>
      </c>
      <c r="C24" s="27" t="str">
        <v/>
      </c>
      <c r="D24" s="27" t="str">
        <v/>
      </c>
    </row>
    <row r="25" spans="2:4" x14ac:dyDescent="0.25">
      <c r="B25" s="27" t="str">
        <v/>
      </c>
      <c r="C25" s="27" t="str">
        <v/>
      </c>
      <c r="D25" s="27" t="str">
        <v/>
      </c>
    </row>
    <row r="26" spans="2:4" x14ac:dyDescent="0.25">
      <c r="B26" s="27" t="str">
        <v/>
      </c>
      <c r="C26" s="27" t="str">
        <v/>
      </c>
      <c r="D26" s="27" t="str">
        <v/>
      </c>
    </row>
    <row r="27" spans="2:4" x14ac:dyDescent="0.25">
      <c r="B27" s="27" t="str">
        <v/>
      </c>
      <c r="C27" s="27" t="str">
        <v/>
      </c>
      <c r="D27" s="27" t="str">
        <v/>
      </c>
    </row>
    <row r="28" spans="2:4" x14ac:dyDescent="0.25">
      <c r="B28" s="27" t="str">
        <v/>
      </c>
      <c r="C28" s="27" t="str">
        <v/>
      </c>
      <c r="D28" s="27" t="str">
        <v/>
      </c>
    </row>
    <row r="29" spans="2:4" x14ac:dyDescent="0.25">
      <c r="B29" s="27" t="str">
        <v/>
      </c>
      <c r="C29" s="27" t="str">
        <v/>
      </c>
      <c r="D29" s="27" t="str">
        <v/>
      </c>
    </row>
    <row r="30" spans="2:4" x14ac:dyDescent="0.25">
      <c r="B30" s="27" t="str">
        <v/>
      </c>
      <c r="C30" s="27" t="str">
        <v/>
      </c>
      <c r="D30" s="27" t="str">
        <v/>
      </c>
    </row>
    <row r="31" spans="2:4" x14ac:dyDescent="0.25">
      <c r="B31" s="27" t="str">
        <v/>
      </c>
      <c r="C31" s="27" t="str">
        <v/>
      </c>
      <c r="D31" s="27" t="str">
        <v/>
      </c>
    </row>
    <row r="32" spans="2:4" x14ac:dyDescent="0.25">
      <c r="B32" s="27" t="str">
        <v/>
      </c>
      <c r="C32" s="27" t="str">
        <v/>
      </c>
      <c r="D32" s="27" t="str">
        <v/>
      </c>
    </row>
    <row r="33" spans="2:4" x14ac:dyDescent="0.25">
      <c r="B33" s="27" t="str">
        <v/>
      </c>
      <c r="C33" s="27" t="str">
        <v/>
      </c>
      <c r="D33" s="27" t="str">
        <v/>
      </c>
    </row>
    <row r="34" spans="2:4" x14ac:dyDescent="0.25">
      <c r="B34" s="27" t="str">
        <v/>
      </c>
      <c r="C34" s="27" t="str">
        <v/>
      </c>
      <c r="D34" s="27" t="str">
        <v/>
      </c>
    </row>
    <row r="35" spans="2:4" x14ac:dyDescent="0.25">
      <c r="B35" s="27" t="str">
        <v/>
      </c>
      <c r="C35" s="27" t="str">
        <v/>
      </c>
      <c r="D35" s="27" t="str">
        <v/>
      </c>
    </row>
    <row r="36" spans="2:4" x14ac:dyDescent="0.25">
      <c r="B36" s="27" t="str">
        <v/>
      </c>
      <c r="C36" s="27" t="str">
        <v/>
      </c>
      <c r="D36" s="27" t="str">
        <v/>
      </c>
    </row>
    <row r="37" spans="2:4" x14ac:dyDescent="0.25">
      <c r="B37" s="27" t="str">
        <v/>
      </c>
      <c r="C37" s="27" t="str">
        <v/>
      </c>
      <c r="D37" s="27" t="str">
        <v/>
      </c>
    </row>
    <row r="38" spans="2:4" x14ac:dyDescent="0.25">
      <c r="B38" s="27" t="str">
        <v/>
      </c>
      <c r="C38" s="27" t="str">
        <v/>
      </c>
      <c r="D38" s="27" t="str">
        <v/>
      </c>
    </row>
    <row r="39" spans="2:4" x14ac:dyDescent="0.25">
      <c r="B39" s="27" t="str">
        <v/>
      </c>
      <c r="C39" s="27" t="str">
        <v/>
      </c>
      <c r="D39" s="27" t="str">
        <v/>
      </c>
    </row>
    <row r="40" spans="2:4" x14ac:dyDescent="0.25">
      <c r="B40" s="27" t="str">
        <v/>
      </c>
      <c r="C40" s="27" t="str">
        <v/>
      </c>
      <c r="D40" s="27" t="str">
        <v/>
      </c>
    </row>
    <row r="41" spans="2:4" x14ac:dyDescent="0.25">
      <c r="B41" s="27" t="str">
        <v/>
      </c>
      <c r="C41" s="27" t="str">
        <v/>
      </c>
      <c r="D41" s="27" t="str">
        <v/>
      </c>
    </row>
    <row r="42" spans="2:4" x14ac:dyDescent="0.25">
      <c r="B42" s="27" t="str">
        <v/>
      </c>
      <c r="C42" s="27" t="str">
        <v/>
      </c>
      <c r="D42" s="27" t="str">
        <v/>
      </c>
    </row>
    <row r="43" spans="2:4" x14ac:dyDescent="0.25">
      <c r="B43" s="27" t="str">
        <v/>
      </c>
      <c r="C43" s="27" t="str">
        <v/>
      </c>
      <c r="D43" s="27" t="str">
        <v/>
      </c>
    </row>
    <row r="44" spans="2:4" x14ac:dyDescent="0.25">
      <c r="B44" s="27" t="str">
        <v/>
      </c>
      <c r="C44" s="27" t="str">
        <v/>
      </c>
      <c r="D44" s="27" t="str">
        <v/>
      </c>
    </row>
    <row r="45" spans="2:4" x14ac:dyDescent="0.25">
      <c r="B45" s="27" t="str">
        <v/>
      </c>
      <c r="C45" s="27" t="str">
        <v/>
      </c>
      <c r="D45" s="27" t="str">
        <v/>
      </c>
    </row>
    <row r="46" spans="2:4" x14ac:dyDescent="0.25">
      <c r="B46" s="27" t="str">
        <v/>
      </c>
      <c r="C46" s="27" t="str">
        <v/>
      </c>
      <c r="D46" s="27" t="str">
        <v/>
      </c>
    </row>
    <row r="47" spans="2:4" x14ac:dyDescent="0.25">
      <c r="B47" s="27" t="str">
        <v/>
      </c>
      <c r="C47" s="27" t="str">
        <v/>
      </c>
      <c r="D47" s="27" t="str">
        <v/>
      </c>
    </row>
    <row r="48" spans="2:4" x14ac:dyDescent="0.25">
      <c r="B48" s="27" t="str">
        <v/>
      </c>
      <c r="C48" s="27" t="str">
        <v/>
      </c>
      <c r="D48" s="27" t="str">
        <v/>
      </c>
    </row>
    <row r="49" spans="2:4" x14ac:dyDescent="0.25">
      <c r="B49" s="27" t="str">
        <v/>
      </c>
      <c r="C49" s="27" t="str">
        <v/>
      </c>
      <c r="D49" s="27" t="str">
        <v/>
      </c>
    </row>
    <row r="50" spans="2:4" x14ac:dyDescent="0.25">
      <c r="B50" s="27" t="str">
        <v/>
      </c>
      <c r="C50" s="27" t="str">
        <v/>
      </c>
      <c r="D50" s="27" t="str">
        <v/>
      </c>
    </row>
    <row r="51" spans="2:4" x14ac:dyDescent="0.25">
      <c r="B51" s="27" t="str">
        <v/>
      </c>
      <c r="C51" s="27" t="str">
        <v/>
      </c>
      <c r="D51" s="27" t="str">
        <v/>
      </c>
    </row>
    <row r="52" spans="2:4" x14ac:dyDescent="0.25">
      <c r="B52" s="27" t="str">
        <v/>
      </c>
      <c r="C52" s="27" t="str">
        <v/>
      </c>
      <c r="D52" s="27" t="str">
        <v/>
      </c>
    </row>
    <row r="53" spans="2:4" x14ac:dyDescent="0.25">
      <c r="B53" s="27" t="str">
        <v/>
      </c>
      <c r="C53" s="27" t="str">
        <v/>
      </c>
      <c r="D53" s="27" t="str">
        <v/>
      </c>
    </row>
    <row r="54" spans="2:4" x14ac:dyDescent="0.25">
      <c r="B54" s="27" t="str">
        <v/>
      </c>
      <c r="C54" s="27" t="str">
        <v/>
      </c>
      <c r="D54" s="27" t="str">
        <v/>
      </c>
    </row>
    <row r="55" spans="2:4" x14ac:dyDescent="0.25">
      <c r="B55" s="27" t="str">
        <v/>
      </c>
      <c r="C55" s="27" t="str">
        <v/>
      </c>
      <c r="D55" s="27" t="str">
        <v/>
      </c>
    </row>
    <row r="56" spans="2:4" x14ac:dyDescent="0.25">
      <c r="B56" s="27" t="str">
        <v/>
      </c>
      <c r="C56" s="27" t="str">
        <v/>
      </c>
      <c r="D56" s="27" t="str">
        <v/>
      </c>
    </row>
    <row r="57" spans="2:4" x14ac:dyDescent="0.25">
      <c r="B57" s="27" t="str">
        <v/>
      </c>
      <c r="C57" s="27" t="str">
        <v/>
      </c>
      <c r="D57" s="27" t="str">
        <v/>
      </c>
    </row>
    <row r="58" spans="2:4" x14ac:dyDescent="0.25">
      <c r="B58" s="27" t="str">
        <v/>
      </c>
      <c r="C58" s="27" t="str">
        <v/>
      </c>
      <c r="D58" s="27" t="str">
        <v/>
      </c>
    </row>
    <row r="59" spans="2:4" x14ac:dyDescent="0.25">
      <c r="B59" s="27" t="str">
        <v/>
      </c>
      <c r="C59" s="27" t="str">
        <v/>
      </c>
      <c r="D59" s="27" t="str">
        <v/>
      </c>
    </row>
    <row r="60" spans="2:4" x14ac:dyDescent="0.25">
      <c r="B60" s="27" t="str">
        <v/>
      </c>
      <c r="C60" s="27" t="str">
        <v/>
      </c>
      <c r="D60" s="27" t="str">
        <v/>
      </c>
    </row>
    <row r="61" spans="2:4" x14ac:dyDescent="0.25">
      <c r="B61" s="27" t="str">
        <v/>
      </c>
      <c r="C61" s="27" t="str">
        <v/>
      </c>
      <c r="D61" s="27" t="str">
        <v/>
      </c>
    </row>
    <row r="62" spans="2:4" x14ac:dyDescent="0.25">
      <c r="B62" s="27" t="str">
        <v/>
      </c>
      <c r="C62" s="27" t="str">
        <v/>
      </c>
      <c r="D62" s="27" t="str">
        <v/>
      </c>
    </row>
    <row r="63" spans="2:4" x14ac:dyDescent="0.25">
      <c r="B63" s="27" t="str">
        <v/>
      </c>
      <c r="C63" s="27" t="str">
        <v/>
      </c>
      <c r="D63" s="27" t="str">
        <v/>
      </c>
    </row>
    <row r="64" spans="2:4" x14ac:dyDescent="0.25">
      <c r="B64" s="27" t="str">
        <v/>
      </c>
      <c r="C64" s="27" t="str">
        <v/>
      </c>
      <c r="D64" s="27" t="str">
        <v/>
      </c>
    </row>
    <row r="65" spans="2:4" x14ac:dyDescent="0.25">
      <c r="B65" s="27" t="str">
        <v/>
      </c>
      <c r="C65" s="27" t="str">
        <v/>
      </c>
      <c r="D65" s="27" t="str">
        <v/>
      </c>
    </row>
    <row r="66" spans="2:4" x14ac:dyDescent="0.25">
      <c r="B66" s="27" t="str">
        <v/>
      </c>
      <c r="C66" s="27" t="str">
        <v/>
      </c>
      <c r="D66" s="27" t="str">
        <v/>
      </c>
    </row>
    <row r="67" spans="2:4" x14ac:dyDescent="0.25">
      <c r="B67" s="27" t="str">
        <v/>
      </c>
      <c r="C67" s="27" t="str">
        <v/>
      </c>
      <c r="D67" s="27" t="str">
        <v/>
      </c>
    </row>
    <row r="68" spans="2:4" x14ac:dyDescent="0.25">
      <c r="B68" s="27" t="str">
        <v/>
      </c>
      <c r="C68" s="27" t="str">
        <v/>
      </c>
      <c r="D68" s="27" t="str">
        <v/>
      </c>
    </row>
    <row r="69" spans="2:4" x14ac:dyDescent="0.25">
      <c r="B69" s="27" t="str">
        <v/>
      </c>
      <c r="C69" s="27" t="str">
        <v/>
      </c>
      <c r="D69" s="27" t="str">
        <v/>
      </c>
    </row>
    <row r="70" spans="2:4" x14ac:dyDescent="0.25">
      <c r="B70" s="27" t="str">
        <v/>
      </c>
      <c r="C70" s="27" t="str">
        <v/>
      </c>
      <c r="D70" s="27" t="str">
        <v/>
      </c>
    </row>
    <row r="71" spans="2:4" x14ac:dyDescent="0.25">
      <c r="B71" s="27" t="str">
        <v/>
      </c>
      <c r="C71" s="27" t="str">
        <v/>
      </c>
      <c r="D71" s="27" t="str">
        <v/>
      </c>
    </row>
    <row r="72" spans="2:4" x14ac:dyDescent="0.25">
      <c r="B72" s="27" t="str">
        <v/>
      </c>
      <c r="C72" s="27" t="str">
        <v/>
      </c>
      <c r="D72" s="27" t="str">
        <v/>
      </c>
    </row>
    <row r="73" spans="2:4" x14ac:dyDescent="0.25">
      <c r="B73" s="27" t="str">
        <v/>
      </c>
      <c r="C73" s="27" t="str">
        <v/>
      </c>
      <c r="D73" s="27" t="str">
        <v/>
      </c>
    </row>
    <row r="74" spans="2:4" x14ac:dyDescent="0.25">
      <c r="B74" s="27" t="str">
        <v/>
      </c>
      <c r="C74" s="27" t="str">
        <v/>
      </c>
      <c r="D74" s="27" t="str">
        <v/>
      </c>
    </row>
    <row r="75" spans="2:4" x14ac:dyDescent="0.25">
      <c r="B75" s="27" t="str">
        <v/>
      </c>
      <c r="C75" s="27" t="str">
        <v/>
      </c>
      <c r="D75" s="27" t="str">
        <v/>
      </c>
    </row>
    <row r="76" spans="2:4" x14ac:dyDescent="0.25">
      <c r="B76" s="27" t="str">
        <v/>
      </c>
      <c r="C76" s="27" t="str">
        <v/>
      </c>
      <c r="D76" s="27" t="str">
        <v/>
      </c>
    </row>
    <row r="77" spans="2:4" x14ac:dyDescent="0.25">
      <c r="B77" s="27" t="str">
        <v/>
      </c>
      <c r="C77" s="27" t="str">
        <v/>
      </c>
      <c r="D77" s="27" t="str">
        <v/>
      </c>
    </row>
    <row r="78" spans="2:4" x14ac:dyDescent="0.25">
      <c r="B78" s="27" t="str">
        <v/>
      </c>
      <c r="C78" s="27" t="str">
        <v/>
      </c>
      <c r="D78" s="27" t="str">
        <v/>
      </c>
    </row>
    <row r="79" spans="2:4" x14ac:dyDescent="0.25">
      <c r="B79" s="27" t="str">
        <v/>
      </c>
      <c r="C79" s="27" t="str">
        <v/>
      </c>
      <c r="D79" s="27" t="str">
        <v/>
      </c>
    </row>
    <row r="80" spans="2:4" x14ac:dyDescent="0.25">
      <c r="B80" s="27" t="str">
        <v/>
      </c>
      <c r="C80" s="27" t="str">
        <v/>
      </c>
      <c r="D80" s="27" t="str">
        <v/>
      </c>
    </row>
    <row r="81" spans="2:4" x14ac:dyDescent="0.25">
      <c r="B81" s="27" t="str">
        <v/>
      </c>
      <c r="C81" s="27" t="str">
        <v/>
      </c>
      <c r="D81" s="27" t="str">
        <v/>
      </c>
    </row>
    <row r="82" spans="2:4" x14ac:dyDescent="0.25">
      <c r="B82" s="27" t="str">
        <v/>
      </c>
      <c r="C82" s="27" t="str">
        <v/>
      </c>
      <c r="D82" s="27" t="str">
        <v/>
      </c>
    </row>
    <row r="83" spans="2:4" x14ac:dyDescent="0.25">
      <c r="B83" s="27" t="str">
        <v/>
      </c>
      <c r="C83" s="27" t="str">
        <v/>
      </c>
      <c r="D83" s="27" t="str">
        <v/>
      </c>
    </row>
    <row r="84" spans="2:4" x14ac:dyDescent="0.25">
      <c r="B84" s="27" t="str">
        <v/>
      </c>
      <c r="C84" s="27" t="str">
        <v/>
      </c>
      <c r="D84" s="27" t="str">
        <v/>
      </c>
    </row>
    <row r="85" spans="2:4" x14ac:dyDescent="0.25">
      <c r="B85" s="27" t="str">
        <v/>
      </c>
      <c r="C85" s="27" t="str">
        <v/>
      </c>
      <c r="D85" s="27" t="str">
        <v/>
      </c>
    </row>
    <row r="86" spans="2:4" x14ac:dyDescent="0.25">
      <c r="B86" s="27" t="str">
        <v/>
      </c>
      <c r="C86" s="27" t="str">
        <v/>
      </c>
      <c r="D86" s="27" t="str">
        <v/>
      </c>
    </row>
    <row r="87" spans="2:4" x14ac:dyDescent="0.25">
      <c r="B87" s="27" t="str">
        <v/>
      </c>
      <c r="C87" s="27" t="str">
        <v/>
      </c>
      <c r="D87" s="27" t="str">
        <v/>
      </c>
    </row>
    <row r="88" spans="2:4" x14ac:dyDescent="0.25">
      <c r="B88" s="27" t="str">
        <v/>
      </c>
      <c r="C88" s="27" t="str">
        <v/>
      </c>
      <c r="D88" s="27" t="str">
        <v/>
      </c>
    </row>
    <row r="89" spans="2:4" x14ac:dyDescent="0.25">
      <c r="B89" s="27" t="str">
        <v/>
      </c>
      <c r="C89" s="27" t="str">
        <v/>
      </c>
      <c r="D89" s="27" t="str">
        <v/>
      </c>
    </row>
    <row r="90" spans="2:4" x14ac:dyDescent="0.25">
      <c r="B90" s="27" t="str">
        <v/>
      </c>
      <c r="C90" s="27" t="str">
        <v/>
      </c>
      <c r="D90" s="27" t="str">
        <v/>
      </c>
    </row>
    <row r="91" spans="2:4" x14ac:dyDescent="0.25">
      <c r="B91" s="27" t="str">
        <v/>
      </c>
      <c r="C91" s="27" t="str">
        <v/>
      </c>
      <c r="D91" s="27" t="str">
        <v/>
      </c>
    </row>
    <row r="92" spans="2:4" x14ac:dyDescent="0.25">
      <c r="B92" s="27" t="str">
        <v/>
      </c>
      <c r="C92" s="27" t="str">
        <v/>
      </c>
      <c r="D92" s="27" t="str">
        <v/>
      </c>
    </row>
    <row r="93" spans="2:4" x14ac:dyDescent="0.25">
      <c r="B93" s="27" t="str">
        <v/>
      </c>
      <c r="C93" s="27" t="str">
        <v/>
      </c>
      <c r="D93" s="27" t="str">
        <v/>
      </c>
    </row>
    <row r="94" spans="2:4" x14ac:dyDescent="0.25">
      <c r="B94" s="27" t="str">
        <v/>
      </c>
      <c r="C94" s="27" t="str">
        <v/>
      </c>
      <c r="D94" s="27" t="str">
        <v/>
      </c>
    </row>
    <row r="95" spans="2:4" x14ac:dyDescent="0.25">
      <c r="B95" s="27" t="str">
        <v/>
      </c>
      <c r="C95" s="27" t="str">
        <v/>
      </c>
      <c r="D95" s="27" t="str">
        <v/>
      </c>
    </row>
    <row r="96" spans="2:4" x14ac:dyDescent="0.25">
      <c r="B96" s="27" t="str">
        <v/>
      </c>
      <c r="C96" s="27" t="str">
        <v/>
      </c>
      <c r="D96" s="27" t="str">
        <v/>
      </c>
    </row>
    <row r="97" spans="2:4" x14ac:dyDescent="0.25">
      <c r="B97" s="27" t="str">
        <v/>
      </c>
      <c r="C97" s="27" t="str">
        <v/>
      </c>
      <c r="D97" s="27" t="str">
        <v/>
      </c>
    </row>
    <row r="98" spans="2:4" x14ac:dyDescent="0.25">
      <c r="B98" s="27" t="str">
        <v/>
      </c>
      <c r="C98" s="27" t="str">
        <v/>
      </c>
      <c r="D98" s="27" t="str">
        <v/>
      </c>
    </row>
    <row r="99" spans="2:4" x14ac:dyDescent="0.25">
      <c r="B99" s="27" t="str">
        <v/>
      </c>
      <c r="C99" s="27" t="str">
        <v/>
      </c>
      <c r="D99" s="27" t="str">
        <v/>
      </c>
    </row>
    <row r="100" spans="2:4" x14ac:dyDescent="0.25">
      <c r="B100" s="27" t="str">
        <v/>
      </c>
      <c r="C100" s="27" t="str">
        <v/>
      </c>
      <c r="D100" s="27" t="str">
        <v/>
      </c>
    </row>
    <row r="101" spans="2:4" x14ac:dyDescent="0.25">
      <c r="B101" s="27" t="str">
        <v/>
      </c>
      <c r="C101" s="27" t="str">
        <v/>
      </c>
      <c r="D101" s="27" t="str">
        <v/>
      </c>
    </row>
    <row r="102" spans="2:4" x14ac:dyDescent="0.25">
      <c r="B102" s="27" t="str">
        <v/>
      </c>
      <c r="C102" s="27" t="str">
        <v/>
      </c>
      <c r="D102" s="27" t="str">
        <v/>
      </c>
    </row>
    <row r="103" spans="2:4" x14ac:dyDescent="0.25">
      <c r="B103" s="27" t="str">
        <v/>
      </c>
      <c r="C103" s="27" t="str">
        <v/>
      </c>
      <c r="D103" s="27" t="str">
        <v/>
      </c>
    </row>
    <row r="104" spans="2:4" x14ac:dyDescent="0.25">
      <c r="B104" s="27" t="str">
        <v/>
      </c>
      <c r="C104" s="27" t="str">
        <v/>
      </c>
      <c r="D104" s="27" t="str">
        <v/>
      </c>
    </row>
    <row r="105" spans="2:4" x14ac:dyDescent="0.25">
      <c r="B105" s="27" t="str">
        <v/>
      </c>
      <c r="C105" s="27" t="str">
        <v/>
      </c>
      <c r="D105" s="27" t="str">
        <v/>
      </c>
    </row>
    <row r="106" spans="2:4" x14ac:dyDescent="0.25">
      <c r="B106" s="27" t="str">
        <v/>
      </c>
      <c r="C106" s="27" t="str">
        <v/>
      </c>
      <c r="D106" s="27" t="str">
        <v/>
      </c>
    </row>
    <row r="107" spans="2:4" x14ac:dyDescent="0.25">
      <c r="B107" s="27" t="str">
        <v/>
      </c>
      <c r="C107" s="27" t="str">
        <v/>
      </c>
      <c r="D107" s="27" t="str">
        <v/>
      </c>
    </row>
    <row r="108" spans="2:4" x14ac:dyDescent="0.25">
      <c r="B108" s="27" t="str">
        <v/>
      </c>
      <c r="C108" s="27" t="str">
        <v/>
      </c>
      <c r="D108" s="27" t="str">
        <v/>
      </c>
    </row>
    <row r="109" spans="2:4" x14ac:dyDescent="0.25">
      <c r="B109" s="27" t="str">
        <v/>
      </c>
      <c r="C109" s="27" t="str">
        <v/>
      </c>
      <c r="D109" s="27" t="str">
        <v/>
      </c>
    </row>
    <row r="110" spans="2:4" x14ac:dyDescent="0.25">
      <c r="B110" s="27" t="str">
        <v/>
      </c>
      <c r="C110" s="27" t="str">
        <v/>
      </c>
      <c r="D110" s="27" t="str">
        <v/>
      </c>
    </row>
    <row r="111" spans="2:4" x14ac:dyDescent="0.25">
      <c r="B111" s="27" t="str">
        <v/>
      </c>
      <c r="C111" s="27" t="str">
        <v/>
      </c>
      <c r="D111" s="27" t="str">
        <v/>
      </c>
    </row>
    <row r="112" spans="2:4" x14ac:dyDescent="0.25">
      <c r="B112" s="27" t="str">
        <v/>
      </c>
      <c r="C112" s="27" t="str">
        <v/>
      </c>
      <c r="D112" s="27" t="str">
        <v/>
      </c>
    </row>
    <row r="113" spans="2:4" x14ac:dyDescent="0.25">
      <c r="B113" s="27" t="str">
        <v/>
      </c>
      <c r="C113" s="27" t="str">
        <v/>
      </c>
      <c r="D113" s="27" t="str">
        <v/>
      </c>
    </row>
    <row r="114" spans="2:4" x14ac:dyDescent="0.25">
      <c r="B114" s="27" t="str">
        <v/>
      </c>
      <c r="C114" s="27" t="str">
        <v/>
      </c>
      <c r="D114" s="27" t="str">
        <v/>
      </c>
    </row>
    <row r="115" spans="2:4" x14ac:dyDescent="0.25">
      <c r="B115" s="27" t="str">
        <v/>
      </c>
      <c r="C115" s="27" t="str">
        <v/>
      </c>
      <c r="D115" s="27" t="str">
        <v/>
      </c>
    </row>
    <row r="116" spans="2:4" x14ac:dyDescent="0.25">
      <c r="B116" s="27" t="str">
        <v/>
      </c>
      <c r="C116" s="27" t="str">
        <v/>
      </c>
      <c r="D116" s="27" t="str">
        <v/>
      </c>
    </row>
    <row r="117" spans="2:4" x14ac:dyDescent="0.25">
      <c r="B117" s="27" t="str">
        <v/>
      </c>
      <c r="C117" s="27" t="str">
        <v/>
      </c>
      <c r="D117" s="27" t="str">
        <v/>
      </c>
    </row>
    <row r="118" spans="2:4" x14ac:dyDescent="0.25">
      <c r="B118" s="27" t="str">
        <v/>
      </c>
      <c r="C118" s="27" t="str">
        <v/>
      </c>
      <c r="D118" s="27" t="str">
        <v/>
      </c>
    </row>
    <row r="119" spans="2:4" x14ac:dyDescent="0.25">
      <c r="B119" s="27" t="str">
        <v/>
      </c>
      <c r="C119" s="27" t="str">
        <v/>
      </c>
      <c r="D119" s="27" t="str">
        <v/>
      </c>
    </row>
    <row r="120" spans="2:4" x14ac:dyDescent="0.25">
      <c r="B120" s="27" t="str">
        <v/>
      </c>
      <c r="C120" s="27" t="str">
        <v/>
      </c>
      <c r="D120" s="27" t="str">
        <v/>
      </c>
    </row>
    <row r="121" spans="2:4" x14ac:dyDescent="0.25">
      <c r="B121" s="27" t="str">
        <v/>
      </c>
      <c r="C121" s="27" t="str">
        <v/>
      </c>
      <c r="D121" s="27" t="str">
        <v/>
      </c>
    </row>
    <row r="122" spans="2:4" x14ac:dyDescent="0.25">
      <c r="B122" s="27" t="str">
        <v/>
      </c>
      <c r="C122" s="27" t="str">
        <v/>
      </c>
      <c r="D122" s="27" t="str">
        <v/>
      </c>
    </row>
    <row r="123" spans="2:4" x14ac:dyDescent="0.25">
      <c r="B123" s="27" t="str">
        <v/>
      </c>
      <c r="C123" s="27" t="str">
        <v/>
      </c>
      <c r="D123" s="27" t="str">
        <v/>
      </c>
    </row>
    <row r="124" spans="2:4" x14ac:dyDescent="0.25">
      <c r="B124" s="27" t="str">
        <v/>
      </c>
      <c r="C124" s="27" t="str">
        <v/>
      </c>
      <c r="D124" s="27" t="str">
        <v/>
      </c>
    </row>
    <row r="125" spans="2:4" x14ac:dyDescent="0.25">
      <c r="B125" s="27" t="str">
        <v/>
      </c>
      <c r="C125" s="27" t="str">
        <v/>
      </c>
      <c r="D125" s="27" t="str">
        <v/>
      </c>
    </row>
    <row r="126" spans="2:4" x14ac:dyDescent="0.25">
      <c r="B126" s="27" t="str">
        <v/>
      </c>
      <c r="C126" s="27" t="str">
        <v/>
      </c>
      <c r="D126" s="27" t="str">
        <v/>
      </c>
    </row>
    <row r="127" spans="2:4" x14ac:dyDescent="0.25">
      <c r="B127" s="27" t="str">
        <v/>
      </c>
      <c r="C127" s="27" t="str">
        <v/>
      </c>
      <c r="D127" s="27" t="str">
        <v/>
      </c>
    </row>
    <row r="128" spans="2:4" x14ac:dyDescent="0.25">
      <c r="B128" s="27" t="str">
        <v/>
      </c>
      <c r="C128" s="27" t="str">
        <v/>
      </c>
      <c r="D128" s="27" t="str">
        <v/>
      </c>
    </row>
    <row r="129" spans="2:4" x14ac:dyDescent="0.25">
      <c r="B129" s="27" t="str">
        <v/>
      </c>
      <c r="C129" s="27" t="str">
        <v/>
      </c>
      <c r="D129" s="27" t="str">
        <v/>
      </c>
    </row>
    <row r="130" spans="2:4" x14ac:dyDescent="0.25">
      <c r="B130" s="27" t="str">
        <v/>
      </c>
      <c r="C130" s="27" t="str">
        <v/>
      </c>
      <c r="D130" s="27" t="str">
        <v/>
      </c>
    </row>
    <row r="131" spans="2:4" x14ac:dyDescent="0.25">
      <c r="B131" s="27" t="str">
        <v/>
      </c>
      <c r="C131" s="27" t="str">
        <v/>
      </c>
      <c r="D131" s="27" t="str">
        <v/>
      </c>
    </row>
    <row r="132" spans="2:4" x14ac:dyDescent="0.25">
      <c r="B132" s="27" t="str">
        <v/>
      </c>
      <c r="C132" s="27" t="str">
        <v/>
      </c>
      <c r="D132" s="27" t="str">
        <v/>
      </c>
    </row>
    <row r="133" spans="2:4" x14ac:dyDescent="0.25">
      <c r="B133" s="27" t="str">
        <v/>
      </c>
      <c r="C133" s="27" t="str">
        <v/>
      </c>
      <c r="D133" s="27" t="str">
        <v/>
      </c>
    </row>
    <row r="134" spans="2:4" x14ac:dyDescent="0.25">
      <c r="B134" s="27" t="str">
        <v/>
      </c>
      <c r="C134" s="27" t="str">
        <v/>
      </c>
      <c r="D134" s="27" t="str">
        <v/>
      </c>
    </row>
    <row r="135" spans="2:4" x14ac:dyDescent="0.25">
      <c r="B135" s="27" t="str">
        <v/>
      </c>
      <c r="C135" s="27" t="str">
        <v/>
      </c>
      <c r="D135" s="27" t="str">
        <v/>
      </c>
    </row>
    <row r="136" spans="2:4" x14ac:dyDescent="0.25">
      <c r="B136" s="27" t="str">
        <v/>
      </c>
      <c r="C136" s="27" t="str">
        <v/>
      </c>
      <c r="D136" s="27" t="str">
        <v/>
      </c>
    </row>
    <row r="137" spans="2:4" x14ac:dyDescent="0.25">
      <c r="B137" s="27" t="str">
        <v/>
      </c>
      <c r="C137" s="27" t="str">
        <v/>
      </c>
      <c r="D137" s="27" t="str">
        <v/>
      </c>
    </row>
    <row r="138" spans="2:4" x14ac:dyDescent="0.25">
      <c r="B138" s="27" t="str">
        <v/>
      </c>
      <c r="C138" s="27" t="str">
        <v/>
      </c>
      <c r="D138" s="27" t="str">
        <v/>
      </c>
    </row>
    <row r="139" spans="2:4" x14ac:dyDescent="0.25">
      <c r="B139" s="27" t="str">
        <v/>
      </c>
      <c r="C139" s="27" t="str">
        <v/>
      </c>
      <c r="D139" s="27" t="str">
        <v/>
      </c>
    </row>
    <row r="140" spans="2:4" x14ac:dyDescent="0.25">
      <c r="B140" s="27" t="str">
        <v/>
      </c>
      <c r="C140" s="27" t="str">
        <v/>
      </c>
      <c r="D140" s="27" t="str">
        <v/>
      </c>
    </row>
    <row r="141" spans="2:4" x14ac:dyDescent="0.25">
      <c r="B141" s="27" t="str">
        <v/>
      </c>
      <c r="C141" s="27" t="str">
        <v/>
      </c>
      <c r="D141" s="27" t="str">
        <v/>
      </c>
    </row>
    <row r="142" spans="2:4" x14ac:dyDescent="0.25">
      <c r="B142" s="27" t="str">
        <v/>
      </c>
      <c r="C142" s="27" t="str">
        <v/>
      </c>
      <c r="D142" s="27" t="str">
        <v/>
      </c>
    </row>
    <row r="143" spans="2:4" x14ac:dyDescent="0.25">
      <c r="B143" s="27" t="str">
        <v/>
      </c>
      <c r="C143" s="27" t="str">
        <v/>
      </c>
      <c r="D143" s="27" t="str">
        <v/>
      </c>
    </row>
    <row r="144" spans="2:4" x14ac:dyDescent="0.25">
      <c r="B144" s="27" t="str">
        <v/>
      </c>
      <c r="C144" s="27" t="str">
        <v/>
      </c>
      <c r="D144" s="27" t="str">
        <v/>
      </c>
    </row>
    <row r="145" spans="2:4" x14ac:dyDescent="0.25">
      <c r="B145" s="27" t="str">
        <v/>
      </c>
      <c r="C145" s="27" t="str">
        <v/>
      </c>
      <c r="D145" s="27" t="str">
        <v/>
      </c>
    </row>
    <row r="146" spans="2:4" x14ac:dyDescent="0.25">
      <c r="B146" s="27" t="str">
        <v/>
      </c>
      <c r="C146" s="27" t="str">
        <v/>
      </c>
      <c r="D146" s="27" t="str">
        <v/>
      </c>
    </row>
    <row r="147" spans="2:4" x14ac:dyDescent="0.25">
      <c r="B147" s="27" t="str">
        <v/>
      </c>
      <c r="C147" s="27" t="str">
        <v/>
      </c>
      <c r="D147" s="27" t="str">
        <v/>
      </c>
    </row>
    <row r="148" spans="2:4" x14ac:dyDescent="0.25">
      <c r="B148" s="27" t="str">
        <v/>
      </c>
      <c r="C148" s="27" t="str">
        <v/>
      </c>
      <c r="D148" s="27" t="str">
        <v/>
      </c>
    </row>
    <row r="149" spans="2:4" x14ac:dyDescent="0.25">
      <c r="B149" s="27" t="str">
        <v/>
      </c>
      <c r="C149" s="27" t="str">
        <v/>
      </c>
      <c r="D149" s="27" t="str">
        <v/>
      </c>
    </row>
    <row r="150" spans="2:4" x14ac:dyDescent="0.25">
      <c r="B150" s="27" t="str">
        <v/>
      </c>
      <c r="C150" s="27" t="str">
        <v/>
      </c>
      <c r="D150" s="27" t="str">
        <v/>
      </c>
    </row>
    <row r="151" spans="2:4" x14ac:dyDescent="0.25">
      <c r="B151" s="27" t="str">
        <v/>
      </c>
      <c r="C151" s="27" t="str">
        <v/>
      </c>
      <c r="D151" s="27" t="str">
        <v/>
      </c>
    </row>
    <row r="152" spans="2:4" x14ac:dyDescent="0.25">
      <c r="B152" s="27" t="str">
        <v/>
      </c>
      <c r="C152" s="27" t="str">
        <v/>
      </c>
      <c r="D152" s="27" t="str">
        <v/>
      </c>
    </row>
    <row r="153" spans="2:4" x14ac:dyDescent="0.25">
      <c r="B153" s="27" t="str">
        <v/>
      </c>
      <c r="C153" s="27" t="str">
        <v/>
      </c>
      <c r="D153" s="27" t="str">
        <v/>
      </c>
    </row>
    <row r="154" spans="2:4" x14ac:dyDescent="0.25">
      <c r="B154" s="27" t="str">
        <v/>
      </c>
      <c r="C154" s="27" t="str">
        <v/>
      </c>
      <c r="D154" s="27" t="str">
        <v/>
      </c>
    </row>
    <row r="155" spans="2:4" x14ac:dyDescent="0.25">
      <c r="B155" s="27" t="str">
        <v/>
      </c>
      <c r="C155" s="27" t="str">
        <v/>
      </c>
      <c r="D155" s="27" t="str">
        <v/>
      </c>
    </row>
    <row r="156" spans="2:4" x14ac:dyDescent="0.25">
      <c r="B156" s="27" t="str">
        <v/>
      </c>
      <c r="C156" s="27" t="str">
        <v/>
      </c>
      <c r="D156" s="27" t="str">
        <v/>
      </c>
    </row>
    <row r="157" spans="2:4" x14ac:dyDescent="0.25">
      <c r="B157" s="27" t="str">
        <v/>
      </c>
      <c r="C157" s="27" t="str">
        <v/>
      </c>
      <c r="D157" s="27" t="str">
        <v/>
      </c>
    </row>
    <row r="158" spans="2:4" x14ac:dyDescent="0.25">
      <c r="B158" s="27" t="str">
        <v/>
      </c>
      <c r="C158" s="27" t="str">
        <v/>
      </c>
      <c r="D158" s="27" t="str">
        <v/>
      </c>
    </row>
    <row r="159" spans="2:4" x14ac:dyDescent="0.25">
      <c r="B159" s="27" t="str">
        <v/>
      </c>
      <c r="C159" s="27" t="str">
        <v/>
      </c>
      <c r="D159" s="27" t="str">
        <v/>
      </c>
    </row>
    <row r="160" spans="2:4" x14ac:dyDescent="0.25">
      <c r="B160" s="27" t="str">
        <v/>
      </c>
      <c r="C160" s="27" t="str">
        <v/>
      </c>
      <c r="D160" s="27" t="str">
        <v/>
      </c>
    </row>
    <row r="161" spans="2:4" x14ac:dyDescent="0.25">
      <c r="B161" s="27" t="str">
        <v/>
      </c>
      <c r="C161" s="27" t="str">
        <v/>
      </c>
      <c r="D161" s="27" t="str">
        <v/>
      </c>
    </row>
    <row r="162" spans="2:4" x14ac:dyDescent="0.25">
      <c r="B162" s="27" t="str">
        <v/>
      </c>
      <c r="C162" s="27" t="str">
        <v/>
      </c>
      <c r="D162" s="27" t="str">
        <v/>
      </c>
    </row>
    <row r="163" spans="2:4" x14ac:dyDescent="0.25">
      <c r="B163" s="27" t="str">
        <v/>
      </c>
      <c r="C163" s="27" t="str">
        <v/>
      </c>
      <c r="D163" s="27" t="str">
        <v/>
      </c>
    </row>
    <row r="164" spans="2:4" x14ac:dyDescent="0.25">
      <c r="B164" s="27" t="str">
        <v/>
      </c>
      <c r="C164" s="27" t="str">
        <v/>
      </c>
      <c r="D164" s="27" t="str">
        <v/>
      </c>
    </row>
    <row r="165" spans="2:4" x14ac:dyDescent="0.25">
      <c r="B165" s="27" t="str">
        <v/>
      </c>
      <c r="C165" s="27" t="str">
        <v/>
      </c>
      <c r="D165" s="27" t="str">
        <v/>
      </c>
    </row>
    <row r="166" spans="2:4" x14ac:dyDescent="0.25">
      <c r="B166" s="27" t="str">
        <v/>
      </c>
      <c r="C166" s="27" t="str">
        <v/>
      </c>
      <c r="D166" s="27" t="str">
        <v/>
      </c>
    </row>
    <row r="167" spans="2:4" x14ac:dyDescent="0.25">
      <c r="B167" s="27" t="str">
        <v/>
      </c>
      <c r="C167" s="27" t="str">
        <v/>
      </c>
      <c r="D167" s="27" t="str">
        <v/>
      </c>
    </row>
    <row r="168" spans="2:4" x14ac:dyDescent="0.25">
      <c r="B168" s="27" t="str">
        <v/>
      </c>
      <c r="C168" s="27" t="str">
        <v/>
      </c>
      <c r="D168" s="27" t="str">
        <v/>
      </c>
    </row>
    <row r="169" spans="2:4" x14ac:dyDescent="0.25">
      <c r="B169" s="27" t="str">
        <v/>
      </c>
      <c r="C169" s="27" t="str">
        <v/>
      </c>
      <c r="D169" s="27" t="str">
        <v/>
      </c>
    </row>
    <row r="170" spans="2:4" x14ac:dyDescent="0.25">
      <c r="B170" s="27" t="str">
        <v/>
      </c>
      <c r="C170" s="27" t="str">
        <v/>
      </c>
      <c r="D170" s="27" t="str">
        <v/>
      </c>
    </row>
    <row r="171" spans="2:4" x14ac:dyDescent="0.25">
      <c r="B171" s="27" t="str">
        <v/>
      </c>
      <c r="C171" s="27" t="str">
        <v/>
      </c>
      <c r="D171" s="27" t="str">
        <v/>
      </c>
    </row>
    <row r="172" spans="2:4" x14ac:dyDescent="0.25">
      <c r="B172" s="27" t="str">
        <v/>
      </c>
      <c r="C172" s="27" t="str">
        <v/>
      </c>
      <c r="D172" s="27" t="str">
        <v/>
      </c>
    </row>
    <row r="173" spans="2:4" x14ac:dyDescent="0.25">
      <c r="B173" s="27" t="str">
        <v/>
      </c>
      <c r="C173" s="27" t="str">
        <v/>
      </c>
      <c r="D173" s="27" t="str">
        <v/>
      </c>
    </row>
    <row r="174" spans="2:4" x14ac:dyDescent="0.25">
      <c r="B174" s="27" t="str">
        <v/>
      </c>
      <c r="C174" s="27" t="str">
        <v/>
      </c>
      <c r="D174" s="27" t="str">
        <v/>
      </c>
    </row>
    <row r="175" spans="2:4" x14ac:dyDescent="0.25">
      <c r="B175" s="27" t="str">
        <v/>
      </c>
      <c r="C175" s="27" t="str">
        <v/>
      </c>
      <c r="D175" s="27" t="str">
        <v/>
      </c>
    </row>
    <row r="176" spans="2:4" x14ac:dyDescent="0.25">
      <c r="B176" s="27" t="str">
        <v/>
      </c>
      <c r="C176" s="27" t="str">
        <v/>
      </c>
      <c r="D176" s="27" t="str">
        <v/>
      </c>
    </row>
    <row r="177" spans="2:4" x14ac:dyDescent="0.25">
      <c r="B177" s="27" t="str">
        <v/>
      </c>
      <c r="C177" s="27" t="str">
        <v/>
      </c>
      <c r="D177" s="27" t="str">
        <v/>
      </c>
    </row>
    <row r="178" spans="2:4" x14ac:dyDescent="0.25">
      <c r="B178" s="27" t="str">
        <v/>
      </c>
      <c r="C178" s="27" t="str">
        <v/>
      </c>
      <c r="D178" s="27" t="str">
        <v/>
      </c>
    </row>
    <row r="179" spans="2:4" x14ac:dyDescent="0.25">
      <c r="B179" s="27" t="str">
        <v/>
      </c>
      <c r="C179" s="27" t="str">
        <v/>
      </c>
      <c r="D179" s="27" t="str">
        <v/>
      </c>
    </row>
    <row r="180" spans="2:4" x14ac:dyDescent="0.25">
      <c r="B180" s="27" t="str">
        <v/>
      </c>
      <c r="C180" s="27" t="str">
        <v/>
      </c>
      <c r="D180" s="27" t="str">
        <v/>
      </c>
    </row>
    <row r="181" spans="2:4" x14ac:dyDescent="0.25">
      <c r="B181" s="27" t="str">
        <v/>
      </c>
      <c r="C181" s="27" t="str">
        <v/>
      </c>
      <c r="D181" s="27" t="str">
        <v/>
      </c>
    </row>
    <row r="182" spans="2:4" x14ac:dyDescent="0.25">
      <c r="B182" s="27" t="str">
        <v/>
      </c>
      <c r="C182" s="27" t="str">
        <v/>
      </c>
      <c r="D182" s="27" t="str">
        <v/>
      </c>
    </row>
    <row r="183" spans="2:4" x14ac:dyDescent="0.25">
      <c r="B183" s="27" t="str">
        <v/>
      </c>
      <c r="C183" s="27" t="str">
        <v/>
      </c>
      <c r="D183" s="27" t="str">
        <v/>
      </c>
    </row>
    <row r="184" spans="2:4" x14ac:dyDescent="0.25">
      <c r="B184" s="27" t="str">
        <v/>
      </c>
      <c r="C184" s="27" t="str">
        <v/>
      </c>
      <c r="D184" s="27" t="str">
        <v/>
      </c>
    </row>
    <row r="185" spans="2:4" x14ac:dyDescent="0.25">
      <c r="B185" s="27" t="str">
        <v/>
      </c>
      <c r="C185" s="27" t="str">
        <v/>
      </c>
      <c r="D185" s="27" t="str">
        <v/>
      </c>
    </row>
    <row r="186" spans="2:4" x14ac:dyDescent="0.25">
      <c r="B186" s="27" t="str">
        <v/>
      </c>
      <c r="C186" s="27" t="str">
        <v/>
      </c>
      <c r="D186" s="27" t="str">
        <v/>
      </c>
    </row>
    <row r="187" spans="2:4" x14ac:dyDescent="0.25">
      <c r="B187" s="27" t="str">
        <v/>
      </c>
      <c r="C187" s="27" t="str">
        <v/>
      </c>
      <c r="D187" s="27" t="str">
        <v/>
      </c>
    </row>
    <row r="188" spans="2:4" x14ac:dyDescent="0.25">
      <c r="B188" s="27" t="str">
        <v/>
      </c>
      <c r="C188" s="27" t="str">
        <v/>
      </c>
      <c r="D188" s="27" t="str">
        <v/>
      </c>
    </row>
    <row r="189" spans="2:4" x14ac:dyDescent="0.25">
      <c r="B189" s="27" t="str">
        <v/>
      </c>
      <c r="C189" s="27" t="str">
        <v/>
      </c>
      <c r="D189" s="27" t="str">
        <v/>
      </c>
    </row>
    <row r="190" spans="2:4" x14ac:dyDescent="0.25">
      <c r="B190" s="27" t="str">
        <v/>
      </c>
      <c r="C190" s="27" t="str">
        <v/>
      </c>
      <c r="D190" s="27" t="str">
        <v/>
      </c>
    </row>
    <row r="191" spans="2:4" x14ac:dyDescent="0.25">
      <c r="B191" s="27" t="str">
        <v/>
      </c>
      <c r="C191" s="27" t="str">
        <v/>
      </c>
      <c r="D191" s="27" t="str">
        <v/>
      </c>
    </row>
    <row r="192" spans="2:4" x14ac:dyDescent="0.25">
      <c r="B192" s="27" t="str">
        <v/>
      </c>
      <c r="C192" s="27" t="str">
        <v/>
      </c>
      <c r="D192" s="27" t="str">
        <v/>
      </c>
    </row>
    <row r="193" spans="2:4" x14ac:dyDescent="0.25">
      <c r="B193" s="27" t="str">
        <v/>
      </c>
      <c r="C193" s="27" t="str">
        <v/>
      </c>
      <c r="D193" s="27" t="str">
        <v/>
      </c>
    </row>
    <row r="194" spans="2:4" x14ac:dyDescent="0.25">
      <c r="B194" s="27" t="str">
        <v/>
      </c>
      <c r="C194" s="27" t="str">
        <v/>
      </c>
      <c r="D194" s="27" t="str">
        <v/>
      </c>
    </row>
    <row r="195" spans="2:4" x14ac:dyDescent="0.25">
      <c r="B195" s="27" t="str">
        <v/>
      </c>
      <c r="C195" s="27" t="str">
        <v/>
      </c>
      <c r="D195" s="27" t="str">
        <v/>
      </c>
    </row>
    <row r="196" spans="2:4" x14ac:dyDescent="0.25">
      <c r="B196" s="27" t="str">
        <v/>
      </c>
      <c r="C196" s="27" t="str">
        <v/>
      </c>
      <c r="D196" s="27" t="str">
        <v/>
      </c>
    </row>
    <row r="197" spans="2:4" x14ac:dyDescent="0.25">
      <c r="B197" s="27" t="str">
        <v/>
      </c>
      <c r="C197" s="27" t="str">
        <v/>
      </c>
      <c r="D197" s="27" t="str">
        <v/>
      </c>
    </row>
    <row r="198" spans="2:4" x14ac:dyDescent="0.25">
      <c r="B198" s="27" t="str">
        <v/>
      </c>
      <c r="C198" s="27" t="str">
        <v/>
      </c>
      <c r="D198" s="27" t="str">
        <v/>
      </c>
    </row>
    <row r="199" spans="2:4" x14ac:dyDescent="0.25">
      <c r="B199" s="27" t="str">
        <v/>
      </c>
      <c r="C199" s="27" t="str">
        <v/>
      </c>
      <c r="D199" s="27" t="str">
        <v/>
      </c>
    </row>
    <row r="200" spans="2:4" x14ac:dyDescent="0.25">
      <c r="B200" s="27" t="str">
        <v/>
      </c>
      <c r="C200" s="27" t="str">
        <v/>
      </c>
      <c r="D200" s="27" t="str">
        <v/>
      </c>
    </row>
    <row r="201" spans="2:4" x14ac:dyDescent="0.25">
      <c r="B201" s="27" t="str">
        <v/>
      </c>
      <c r="C201" s="27" t="str">
        <v/>
      </c>
      <c r="D201" s="27" t="str">
        <v/>
      </c>
    </row>
    <row r="202" spans="2:4" x14ac:dyDescent="0.25">
      <c r="B202" s="27" t="str">
        <v/>
      </c>
      <c r="C202" s="27" t="str">
        <v/>
      </c>
      <c r="D202" s="27" t="str">
        <v/>
      </c>
    </row>
    <row r="203" spans="2:4" x14ac:dyDescent="0.25">
      <c r="B203" s="27" t="str">
        <v/>
      </c>
      <c r="C203" s="27" t="str">
        <v/>
      </c>
      <c r="D203" s="27" t="str">
        <v/>
      </c>
    </row>
    <row r="204" spans="2:4" x14ac:dyDescent="0.25">
      <c r="B204" s="27" t="str">
        <v/>
      </c>
      <c r="C204" s="27" t="str">
        <v/>
      </c>
      <c r="D204" s="27" t="str">
        <v/>
      </c>
    </row>
    <row r="205" spans="2:4" x14ac:dyDescent="0.25">
      <c r="B205" s="27" t="str">
        <v/>
      </c>
      <c r="C205" s="27" t="str">
        <v/>
      </c>
      <c r="D205" s="27" t="str">
        <v/>
      </c>
    </row>
    <row r="206" spans="2:4" x14ac:dyDescent="0.25">
      <c r="B206" s="27" t="str">
        <v/>
      </c>
      <c r="C206" s="27" t="str">
        <v/>
      </c>
      <c r="D206" s="27" t="str">
        <v/>
      </c>
    </row>
    <row r="207" spans="2:4" x14ac:dyDescent="0.25">
      <c r="B207" s="27" t="str">
        <v/>
      </c>
      <c r="C207" s="27" t="str">
        <v/>
      </c>
      <c r="D207" s="27" t="str">
        <v/>
      </c>
    </row>
    <row r="208" spans="2:4" x14ac:dyDescent="0.25">
      <c r="B208" s="27" t="str">
        <v/>
      </c>
      <c r="C208" s="27" t="str">
        <v/>
      </c>
      <c r="D208" s="27" t="str">
        <v/>
      </c>
    </row>
    <row r="209" spans="2:4" x14ac:dyDescent="0.25">
      <c r="B209" s="27" t="str">
        <v/>
      </c>
      <c r="C209" s="27" t="str">
        <v/>
      </c>
      <c r="D209" s="27" t="str">
        <v/>
      </c>
    </row>
    <row r="210" spans="2:4" x14ac:dyDescent="0.25">
      <c r="B210" s="27" t="str">
        <v/>
      </c>
      <c r="C210" s="27" t="str">
        <v/>
      </c>
      <c r="D210" s="27" t="str">
        <v/>
      </c>
    </row>
    <row r="211" spans="2:4" x14ac:dyDescent="0.25">
      <c r="B211" s="27" t="str">
        <v/>
      </c>
      <c r="C211" s="27" t="str">
        <v/>
      </c>
      <c r="D211" s="27" t="str">
        <v/>
      </c>
    </row>
    <row r="212" spans="2:4" x14ac:dyDescent="0.25">
      <c r="B212" s="27" t="str">
        <v/>
      </c>
      <c r="C212" s="27" t="str">
        <v/>
      </c>
      <c r="D212" s="27" t="str">
        <v/>
      </c>
    </row>
    <row r="213" spans="2:4" x14ac:dyDescent="0.25">
      <c r="B213" s="27" t="str">
        <v/>
      </c>
      <c r="C213" s="27" t="str">
        <v/>
      </c>
      <c r="D213" s="27" t="str">
        <v/>
      </c>
    </row>
    <row r="214" spans="2:4" x14ac:dyDescent="0.25">
      <c r="B214" s="27" t="str">
        <v/>
      </c>
      <c r="C214" s="27" t="str">
        <v/>
      </c>
      <c r="D214" s="27" t="str">
        <v/>
      </c>
    </row>
    <row r="215" spans="2:4" x14ac:dyDescent="0.25">
      <c r="B215" s="27" t="str">
        <v/>
      </c>
      <c r="C215" s="27" t="str">
        <v/>
      </c>
      <c r="D215" s="27" t="str">
        <v/>
      </c>
    </row>
    <row r="216" spans="2:4" x14ac:dyDescent="0.25">
      <c r="B216" s="27" t="str">
        <v/>
      </c>
      <c r="C216" s="27" t="str">
        <v/>
      </c>
      <c r="D216" s="27" t="str">
        <v/>
      </c>
    </row>
    <row r="217" spans="2:4" x14ac:dyDescent="0.25">
      <c r="B217" s="27" t="str">
        <v/>
      </c>
      <c r="C217" s="27" t="str">
        <v/>
      </c>
      <c r="D217" s="27" t="str">
        <v/>
      </c>
    </row>
    <row r="218" spans="2:4" x14ac:dyDescent="0.25">
      <c r="B218" s="27" t="str">
        <v/>
      </c>
      <c r="C218" s="27" t="str">
        <v/>
      </c>
      <c r="D218" s="27" t="str">
        <v/>
      </c>
    </row>
    <row r="219" spans="2:4" x14ac:dyDescent="0.25">
      <c r="B219" s="27" t="str">
        <v/>
      </c>
      <c r="C219" s="27" t="str">
        <v/>
      </c>
      <c r="D219" s="27" t="str">
        <v/>
      </c>
    </row>
    <row r="220" spans="2:4" x14ac:dyDescent="0.25">
      <c r="B220" s="27" t="str">
        <v/>
      </c>
      <c r="C220" s="27" t="str">
        <v/>
      </c>
      <c r="D220" s="27" t="str">
        <v/>
      </c>
    </row>
    <row r="221" spans="2:4" x14ac:dyDescent="0.25">
      <c r="B221" s="27" t="str">
        <v/>
      </c>
      <c r="C221" s="27" t="str">
        <v/>
      </c>
      <c r="D221" s="27" t="str">
        <v/>
      </c>
    </row>
    <row r="222" spans="2:4" x14ac:dyDescent="0.25">
      <c r="B222" s="27" t="str">
        <v/>
      </c>
      <c r="C222" s="27" t="str">
        <v/>
      </c>
      <c r="D222" s="27" t="str">
        <v/>
      </c>
    </row>
    <row r="223" spans="2:4" x14ac:dyDescent="0.25">
      <c r="B223" s="27" t="str">
        <v/>
      </c>
      <c r="C223" s="27" t="str">
        <v/>
      </c>
      <c r="D223" s="27" t="str">
        <v/>
      </c>
    </row>
    <row r="224" spans="2:4" x14ac:dyDescent="0.25">
      <c r="B224" s="27" t="str">
        <v/>
      </c>
      <c r="C224" s="27" t="str">
        <v/>
      </c>
      <c r="D224" s="27" t="str">
        <v/>
      </c>
    </row>
    <row r="225" spans="2:4" x14ac:dyDescent="0.25">
      <c r="B225" s="27" t="str">
        <v/>
      </c>
      <c r="C225" s="27" t="str">
        <v/>
      </c>
      <c r="D225" s="27" t="str">
        <v/>
      </c>
    </row>
    <row r="226" spans="2:4" x14ac:dyDescent="0.25">
      <c r="B226" s="27" t="str">
        <v/>
      </c>
      <c r="C226" s="27" t="str">
        <v/>
      </c>
      <c r="D226" s="27" t="str">
        <v/>
      </c>
    </row>
    <row r="227" spans="2:4" x14ac:dyDescent="0.25">
      <c r="B227" s="27" t="str">
        <v/>
      </c>
      <c r="C227" s="27" t="str">
        <v/>
      </c>
      <c r="D227" s="27" t="str">
        <v/>
      </c>
    </row>
    <row r="228" spans="2:4" x14ac:dyDescent="0.25">
      <c r="B228" s="27" t="str">
        <v/>
      </c>
      <c r="C228" s="27" t="str">
        <v/>
      </c>
      <c r="D228" s="27" t="str">
        <v/>
      </c>
    </row>
    <row r="229" spans="2:4" x14ac:dyDescent="0.25">
      <c r="B229" s="27" t="str">
        <v/>
      </c>
      <c r="C229" s="27" t="str">
        <v/>
      </c>
      <c r="D229" s="27" t="str">
        <v/>
      </c>
    </row>
    <row r="230" spans="2:4" x14ac:dyDescent="0.25">
      <c r="B230" s="27" t="str">
        <v/>
      </c>
      <c r="C230" s="27" t="str">
        <v/>
      </c>
      <c r="D230" s="27" t="str">
        <v/>
      </c>
    </row>
    <row r="231" spans="2:4" x14ac:dyDescent="0.25">
      <c r="B231" s="27" t="str">
        <v/>
      </c>
      <c r="C231" s="27" t="str">
        <v/>
      </c>
      <c r="D231" s="27" t="str">
        <v/>
      </c>
    </row>
    <row r="232" spans="2:4" x14ac:dyDescent="0.25">
      <c r="B232" s="27" t="str">
        <v/>
      </c>
      <c r="C232" s="27" t="str">
        <v/>
      </c>
      <c r="D232" s="27" t="str">
        <v/>
      </c>
    </row>
    <row r="233" spans="2:4" x14ac:dyDescent="0.25">
      <c r="B233" s="27" t="str">
        <v/>
      </c>
      <c r="C233" s="27" t="str">
        <v/>
      </c>
      <c r="D233" s="27" t="str">
        <v/>
      </c>
    </row>
    <row r="234" spans="2:4" x14ac:dyDescent="0.25">
      <c r="B234" s="27" t="str">
        <v/>
      </c>
      <c r="C234" s="27" t="str">
        <v/>
      </c>
      <c r="D234" s="27" t="str">
        <v/>
      </c>
    </row>
    <row r="235" spans="2:4" x14ac:dyDescent="0.25">
      <c r="B235" s="27" t="str">
        <v/>
      </c>
      <c r="C235" s="27" t="str">
        <v/>
      </c>
      <c r="D235" s="27" t="str">
        <v/>
      </c>
    </row>
    <row r="236" spans="2:4" x14ac:dyDescent="0.25">
      <c r="B236" s="27" t="str">
        <v/>
      </c>
      <c r="C236" s="27" t="str">
        <v/>
      </c>
      <c r="D236" s="27" t="str">
        <v/>
      </c>
    </row>
    <row r="237" spans="2:4" x14ac:dyDescent="0.25">
      <c r="B237" s="27" t="str">
        <v/>
      </c>
      <c r="C237" s="27" t="str">
        <v/>
      </c>
      <c r="D237" s="27" t="str">
        <v/>
      </c>
    </row>
    <row r="238" spans="2:4" x14ac:dyDescent="0.25">
      <c r="B238" s="27" t="str">
        <v/>
      </c>
      <c r="C238" s="27" t="str">
        <v/>
      </c>
      <c r="D238" s="27" t="str">
        <v/>
      </c>
    </row>
    <row r="239" spans="2:4" x14ac:dyDescent="0.25">
      <c r="B239" s="27" t="str">
        <v/>
      </c>
      <c r="C239" s="27" t="str">
        <v/>
      </c>
      <c r="D239" s="27" t="str">
        <v/>
      </c>
    </row>
    <row r="240" spans="2:4" x14ac:dyDescent="0.25">
      <c r="B240" s="27" t="str">
        <v/>
      </c>
      <c r="C240" s="27" t="str">
        <v/>
      </c>
      <c r="D240" s="27" t="str">
        <v/>
      </c>
    </row>
    <row r="241" spans="2:4" x14ac:dyDescent="0.25">
      <c r="B241" s="27" t="str">
        <v/>
      </c>
      <c r="C241" s="27" t="str">
        <v/>
      </c>
      <c r="D241" s="27" t="str">
        <v/>
      </c>
    </row>
    <row r="242" spans="2:4" x14ac:dyDescent="0.25">
      <c r="B242" s="27" t="str">
        <v/>
      </c>
      <c r="C242" s="27" t="str">
        <v/>
      </c>
      <c r="D242" s="27" t="str">
        <v/>
      </c>
    </row>
    <row r="243" spans="2:4" x14ac:dyDescent="0.25">
      <c r="B243" s="27" t="str">
        <v/>
      </c>
      <c r="C243" s="27" t="str">
        <v/>
      </c>
      <c r="D243" s="27" t="str">
        <v/>
      </c>
    </row>
    <row r="244" spans="2:4" x14ac:dyDescent="0.25">
      <c r="B244" s="27" t="str">
        <v/>
      </c>
      <c r="C244" s="27" t="str">
        <v/>
      </c>
      <c r="D244" s="27" t="str">
        <v/>
      </c>
    </row>
    <row r="245" spans="2:4" x14ac:dyDescent="0.25">
      <c r="B245" s="27" t="str">
        <v/>
      </c>
      <c r="C245" s="27" t="str">
        <v/>
      </c>
      <c r="D245" s="27" t="str">
        <v/>
      </c>
    </row>
    <row r="246" spans="2:4" x14ac:dyDescent="0.25">
      <c r="B246" s="27" t="str">
        <v/>
      </c>
      <c r="C246" s="27" t="str">
        <v/>
      </c>
      <c r="D246" s="27" t="str">
        <v/>
      </c>
    </row>
    <row r="247" spans="2:4" x14ac:dyDescent="0.25">
      <c r="B247" s="27" t="str">
        <v/>
      </c>
      <c r="C247" s="27" t="str">
        <v/>
      </c>
      <c r="D247" s="27" t="str">
        <v/>
      </c>
    </row>
    <row r="248" spans="2:4" x14ac:dyDescent="0.25">
      <c r="B248" s="27" t="str">
        <v/>
      </c>
      <c r="C248" s="27" t="str">
        <v/>
      </c>
      <c r="D248" s="27" t="str">
        <v/>
      </c>
    </row>
    <row r="249" spans="2:4" x14ac:dyDescent="0.25">
      <c r="B249" s="27" t="str">
        <v/>
      </c>
      <c r="C249" s="27" t="str">
        <v/>
      </c>
      <c r="D249" s="27" t="str">
        <v/>
      </c>
    </row>
    <row r="250" spans="2:4" x14ac:dyDescent="0.25">
      <c r="B250" s="27" t="str">
        <v/>
      </c>
      <c r="C250" s="27" t="str">
        <v/>
      </c>
      <c r="D250" s="27" t="str">
        <v/>
      </c>
    </row>
    <row r="251" spans="2:4" x14ac:dyDescent="0.25">
      <c r="B251" s="27" t="str">
        <v/>
      </c>
      <c r="C251" s="27" t="str">
        <v/>
      </c>
      <c r="D251" s="27" t="str">
        <v/>
      </c>
    </row>
    <row r="252" spans="2:4" x14ac:dyDescent="0.25">
      <c r="B252" s="27" t="str">
        <v/>
      </c>
      <c r="C252" s="27" t="str">
        <v/>
      </c>
      <c r="D252" s="27" t="str">
        <v/>
      </c>
    </row>
    <row r="253" spans="2:4" x14ac:dyDescent="0.25">
      <c r="B253" s="27" t="str">
        <v/>
      </c>
      <c r="C253" s="27" t="str">
        <v/>
      </c>
      <c r="D253" s="27" t="str">
        <v/>
      </c>
    </row>
    <row r="254" spans="2:4" x14ac:dyDescent="0.25">
      <c r="B254" s="27" t="str">
        <v/>
      </c>
      <c r="C254" s="27" t="str">
        <v/>
      </c>
      <c r="D254" s="27" t="str">
        <v/>
      </c>
    </row>
    <row r="255" spans="2:4" x14ac:dyDescent="0.25">
      <c r="B255" s="27" t="str">
        <v/>
      </c>
      <c r="C255" s="27" t="str">
        <v/>
      </c>
      <c r="D255" s="27" t="str">
        <v/>
      </c>
    </row>
    <row r="256" spans="2:4" x14ac:dyDescent="0.25">
      <c r="B256" s="27" t="str">
        <v/>
      </c>
      <c r="C256" s="27" t="str">
        <v/>
      </c>
      <c r="D256" s="27" t="str">
        <v/>
      </c>
    </row>
    <row r="257" spans="2:4" x14ac:dyDescent="0.25">
      <c r="B257" s="27" t="str">
        <v/>
      </c>
      <c r="C257" s="27" t="str">
        <v/>
      </c>
      <c r="D257" s="27" t="str">
        <v/>
      </c>
    </row>
    <row r="258" spans="2:4" x14ac:dyDescent="0.25">
      <c r="B258" s="27" t="str">
        <v/>
      </c>
      <c r="C258" s="27" t="str">
        <v/>
      </c>
      <c r="D258" s="27" t="str">
        <v/>
      </c>
    </row>
    <row r="259" spans="2:4" x14ac:dyDescent="0.25">
      <c r="B259" s="27" t="str">
        <v/>
      </c>
      <c r="C259" s="27" t="str">
        <v/>
      </c>
      <c r="D259" s="27" t="str">
        <v/>
      </c>
    </row>
    <row r="260" spans="2:4" x14ac:dyDescent="0.25">
      <c r="B260" s="27" t="str">
        <v/>
      </c>
      <c r="C260" s="27" t="str">
        <v/>
      </c>
      <c r="D260" s="27" t="str">
        <v/>
      </c>
    </row>
    <row r="261" spans="2:4" x14ac:dyDescent="0.25">
      <c r="B261" s="27" t="str">
        <v/>
      </c>
      <c r="C261" s="27" t="str">
        <v/>
      </c>
      <c r="D261" s="27" t="str">
        <v/>
      </c>
    </row>
    <row r="262" spans="2:4" x14ac:dyDescent="0.25">
      <c r="B262" s="27" t="str">
        <v/>
      </c>
      <c r="C262" s="27" t="str">
        <v/>
      </c>
      <c r="D262" s="27" t="str">
        <v/>
      </c>
    </row>
    <row r="263" spans="2:4" x14ac:dyDescent="0.25">
      <c r="B263" s="27" t="str">
        <v/>
      </c>
      <c r="C263" s="27" t="str">
        <v/>
      </c>
      <c r="D263" s="27" t="str">
        <v/>
      </c>
    </row>
    <row r="264" spans="2:4" x14ac:dyDescent="0.25">
      <c r="B264" s="27" t="str">
        <v/>
      </c>
      <c r="C264" s="27" t="str">
        <v/>
      </c>
      <c r="D264" s="27" t="str">
        <v/>
      </c>
    </row>
    <row r="265" spans="2:4" x14ac:dyDescent="0.25">
      <c r="B265" s="27" t="str">
        <v/>
      </c>
      <c r="C265" s="27" t="str">
        <v/>
      </c>
      <c r="D265" s="27" t="str">
        <v/>
      </c>
    </row>
    <row r="266" spans="2:4" x14ac:dyDescent="0.25">
      <c r="B266" s="27" t="str">
        <v/>
      </c>
      <c r="C266" s="27" t="str">
        <v/>
      </c>
      <c r="D266" s="27" t="str">
        <v/>
      </c>
    </row>
    <row r="267" spans="2:4" x14ac:dyDescent="0.25">
      <c r="B267" s="27" t="str">
        <v/>
      </c>
      <c r="C267" s="27" t="str">
        <v/>
      </c>
      <c r="D267" s="27" t="str">
        <v/>
      </c>
    </row>
    <row r="268" spans="2:4" x14ac:dyDescent="0.25">
      <c r="B268" s="27" t="str">
        <v/>
      </c>
      <c r="C268" s="27" t="str">
        <v/>
      </c>
      <c r="D268" s="27" t="str">
        <v/>
      </c>
    </row>
    <row r="269" spans="2:4" x14ac:dyDescent="0.25">
      <c r="B269" s="27" t="str">
        <v/>
      </c>
      <c r="C269" s="27" t="str">
        <v/>
      </c>
      <c r="D269" s="27" t="str">
        <v/>
      </c>
    </row>
    <row r="270" spans="2:4" x14ac:dyDescent="0.25">
      <c r="B270" s="27" t="str">
        <v/>
      </c>
      <c r="C270" s="27" t="str">
        <v/>
      </c>
      <c r="D270" s="27" t="str">
        <v/>
      </c>
    </row>
    <row r="271" spans="2:4" x14ac:dyDescent="0.25">
      <c r="B271" s="27" t="str">
        <v/>
      </c>
      <c r="C271" s="27" t="str">
        <v/>
      </c>
      <c r="D271" s="27" t="str">
        <v/>
      </c>
    </row>
    <row r="272" spans="2:4" x14ac:dyDescent="0.25">
      <c r="B272" s="27" t="str">
        <v/>
      </c>
      <c r="C272" s="27" t="str">
        <v/>
      </c>
      <c r="D272" s="27" t="str">
        <v/>
      </c>
    </row>
    <row r="273" spans="2:4" x14ac:dyDescent="0.25">
      <c r="B273" s="27" t="str">
        <v/>
      </c>
      <c r="C273" s="27" t="str">
        <v/>
      </c>
      <c r="D273" s="27" t="str">
        <v/>
      </c>
    </row>
    <row r="274" spans="2:4" x14ac:dyDescent="0.25">
      <c r="B274" s="27" t="str">
        <v/>
      </c>
      <c r="C274" s="27" t="str">
        <v/>
      </c>
      <c r="D274" s="27" t="str">
        <v/>
      </c>
    </row>
    <row r="275" spans="2:4" x14ac:dyDescent="0.25">
      <c r="B275" s="27" t="str">
        <v/>
      </c>
      <c r="C275" s="27" t="str">
        <v/>
      </c>
      <c r="D275" s="27" t="str">
        <v/>
      </c>
    </row>
    <row r="276" spans="2:4" x14ac:dyDescent="0.25">
      <c r="B276" s="27" t="str">
        <v/>
      </c>
      <c r="C276" s="27" t="str">
        <v/>
      </c>
      <c r="D276" s="27" t="str">
        <v/>
      </c>
    </row>
    <row r="277" spans="2:4" x14ac:dyDescent="0.25">
      <c r="B277" s="27" t="str">
        <v/>
      </c>
      <c r="C277" s="27" t="str">
        <v/>
      </c>
      <c r="D277" s="27" t="str">
        <v/>
      </c>
    </row>
    <row r="278" spans="2:4" x14ac:dyDescent="0.25">
      <c r="B278" s="27" t="str">
        <v/>
      </c>
      <c r="C278" s="27" t="str">
        <v/>
      </c>
      <c r="D278" s="27" t="str">
        <v/>
      </c>
    </row>
    <row r="279" spans="2:4" x14ac:dyDescent="0.25">
      <c r="B279" s="27" t="str">
        <v/>
      </c>
      <c r="C279" s="27" t="str">
        <v/>
      </c>
      <c r="D279" s="27" t="str">
        <v/>
      </c>
    </row>
    <row r="280" spans="2:4" x14ac:dyDescent="0.25">
      <c r="B280" s="27" t="str">
        <v/>
      </c>
      <c r="C280" s="27" t="str">
        <v/>
      </c>
      <c r="D280" s="27" t="str">
        <v/>
      </c>
    </row>
    <row r="281" spans="2:4" x14ac:dyDescent="0.25">
      <c r="B281" s="27" t="str">
        <v/>
      </c>
      <c r="C281" s="27" t="str">
        <v/>
      </c>
      <c r="D281" s="27" t="str">
        <v/>
      </c>
    </row>
    <row r="282" spans="2:4" x14ac:dyDescent="0.25">
      <c r="B282" s="27" t="str">
        <v/>
      </c>
      <c r="C282" s="27" t="str">
        <v/>
      </c>
      <c r="D282" s="27" t="str">
        <v/>
      </c>
    </row>
    <row r="283" spans="2:4" x14ac:dyDescent="0.25">
      <c r="B283" s="27" t="str">
        <v/>
      </c>
      <c r="C283" s="27" t="str">
        <v/>
      </c>
      <c r="D283" s="27" t="str">
        <v/>
      </c>
    </row>
    <row r="284" spans="2:4" x14ac:dyDescent="0.25">
      <c r="B284" s="27" t="str">
        <v/>
      </c>
      <c r="C284" s="27" t="str">
        <v/>
      </c>
      <c r="D284" s="27" t="str">
        <v/>
      </c>
    </row>
    <row r="285" spans="2:4" x14ac:dyDescent="0.25">
      <c r="B285" s="27" t="str">
        <v/>
      </c>
      <c r="C285" s="27" t="str">
        <v/>
      </c>
      <c r="D285" s="27" t="str">
        <v/>
      </c>
    </row>
    <row r="286" spans="2:4" x14ac:dyDescent="0.25">
      <c r="B286" s="27" t="str">
        <v/>
      </c>
      <c r="C286" s="27" t="str">
        <v/>
      </c>
      <c r="D286" s="27" t="str">
        <v/>
      </c>
    </row>
    <row r="287" spans="2:4" x14ac:dyDescent="0.25">
      <c r="B287" s="27" t="str">
        <v/>
      </c>
      <c r="C287" s="27" t="str">
        <v/>
      </c>
      <c r="D287" s="27" t="str">
        <v/>
      </c>
    </row>
    <row r="288" spans="2:4" x14ac:dyDescent="0.25">
      <c r="B288" s="27" t="str">
        <v/>
      </c>
      <c r="C288" s="27" t="str">
        <v/>
      </c>
      <c r="D288" s="27" t="str">
        <v/>
      </c>
    </row>
    <row r="289" spans="2:4" x14ac:dyDescent="0.25">
      <c r="B289" s="27" t="str">
        <v/>
      </c>
      <c r="C289" s="27" t="str">
        <v/>
      </c>
      <c r="D289" s="27" t="str">
        <v/>
      </c>
    </row>
    <row r="290" spans="2:4" x14ac:dyDescent="0.25">
      <c r="B290" s="27" t="str">
        <v/>
      </c>
      <c r="C290" s="27" t="str">
        <v/>
      </c>
      <c r="D290" s="27" t="str">
        <v/>
      </c>
    </row>
    <row r="291" spans="2:4" x14ac:dyDescent="0.25">
      <c r="B291" s="27" t="str">
        <v/>
      </c>
      <c r="C291" s="27" t="str">
        <v/>
      </c>
      <c r="D291" s="27" t="str">
        <v/>
      </c>
    </row>
    <row r="292" spans="2:4" x14ac:dyDescent="0.25">
      <c r="B292" s="27" t="str">
        <v/>
      </c>
      <c r="C292" s="27" t="str">
        <v/>
      </c>
      <c r="D292" s="27" t="str">
        <v/>
      </c>
    </row>
    <row r="293" spans="2:4" x14ac:dyDescent="0.25">
      <c r="B293" s="27" t="str">
        <v/>
      </c>
      <c r="C293" s="27" t="str">
        <v/>
      </c>
      <c r="D293" s="27" t="str">
        <v/>
      </c>
    </row>
    <row r="294" spans="2:4" x14ac:dyDescent="0.25">
      <c r="B294" s="27" t="str">
        <v/>
      </c>
      <c r="C294" s="27" t="str">
        <v/>
      </c>
      <c r="D294" s="27" t="str">
        <v/>
      </c>
    </row>
    <row r="295" spans="2:4" x14ac:dyDescent="0.25">
      <c r="B295" s="27" t="str">
        <v/>
      </c>
      <c r="C295" s="27" t="str">
        <v/>
      </c>
      <c r="D295" s="27" t="str">
        <v/>
      </c>
    </row>
    <row r="296" spans="2:4" x14ac:dyDescent="0.25">
      <c r="B296" s="27" t="str">
        <v/>
      </c>
      <c r="C296" s="27" t="str">
        <v/>
      </c>
      <c r="D296" s="27" t="str">
        <v/>
      </c>
    </row>
    <row r="297" spans="2:4" x14ac:dyDescent="0.25">
      <c r="B297" s="27" t="str">
        <v/>
      </c>
      <c r="C297" s="27" t="str">
        <v/>
      </c>
      <c r="D297" s="27" t="str">
        <v/>
      </c>
    </row>
    <row r="298" spans="2:4" x14ac:dyDescent="0.25">
      <c r="B298" s="27" t="str">
        <v/>
      </c>
      <c r="C298" s="27" t="str">
        <v/>
      </c>
      <c r="D298" s="27" t="str">
        <v/>
      </c>
    </row>
    <row r="299" spans="2:4" x14ac:dyDescent="0.25">
      <c r="B299" s="27" t="str">
        <v/>
      </c>
      <c r="C299" s="27" t="str">
        <v/>
      </c>
      <c r="D299" s="27" t="str">
        <v/>
      </c>
    </row>
    <row r="300" spans="2:4" x14ac:dyDescent="0.25">
      <c r="B300" s="27" t="str">
        <v/>
      </c>
      <c r="C300" s="27" t="str">
        <v/>
      </c>
      <c r="D300" s="27" t="str">
        <v/>
      </c>
    </row>
    <row r="301" spans="2:4" x14ac:dyDescent="0.25">
      <c r="B301" s="27" t="str">
        <v/>
      </c>
      <c r="C301" s="27" t="str">
        <v/>
      </c>
      <c r="D301" s="27" t="str">
        <v/>
      </c>
    </row>
    <row r="302" spans="2:4" x14ac:dyDescent="0.25">
      <c r="B302" s="27" t="str">
        <v/>
      </c>
      <c r="C302" s="27" t="str">
        <v/>
      </c>
      <c r="D302" s="27" t="str">
        <v/>
      </c>
    </row>
    <row r="303" spans="2:4" x14ac:dyDescent="0.25">
      <c r="B303" s="27" t="str">
        <v/>
      </c>
      <c r="C303" s="27" t="str">
        <v/>
      </c>
      <c r="D303" s="27" t="str">
        <v/>
      </c>
    </row>
    <row r="304" spans="2:4" x14ac:dyDescent="0.25">
      <c r="B304" s="27" t="str">
        <v/>
      </c>
      <c r="C304" s="27" t="str">
        <v/>
      </c>
      <c r="D304" s="27" t="str">
        <v/>
      </c>
    </row>
    <row r="305" spans="2:4" x14ac:dyDescent="0.25">
      <c r="B305" s="27" t="str">
        <v/>
      </c>
      <c r="C305" s="27" t="str">
        <v/>
      </c>
      <c r="D305" s="27" t="str">
        <v/>
      </c>
    </row>
    <row r="306" spans="2:4" x14ac:dyDescent="0.25">
      <c r="B306" s="27" t="str">
        <v/>
      </c>
      <c r="C306" s="27" t="str">
        <v/>
      </c>
      <c r="D306" s="27" t="str">
        <v/>
      </c>
    </row>
    <row r="307" spans="2:4" x14ac:dyDescent="0.25">
      <c r="B307" s="27" t="str">
        <v/>
      </c>
      <c r="C307" s="27" t="str">
        <v/>
      </c>
      <c r="D307" s="27" t="str">
        <v/>
      </c>
    </row>
    <row r="308" spans="2:4" x14ac:dyDescent="0.25">
      <c r="B308" s="27" t="str">
        <v/>
      </c>
      <c r="C308" s="27" t="str">
        <v/>
      </c>
      <c r="D308" s="27" t="str">
        <v/>
      </c>
    </row>
    <row r="309" spans="2:4" x14ac:dyDescent="0.25">
      <c r="B309" s="27" t="str">
        <v/>
      </c>
      <c r="C309" s="27" t="str">
        <v/>
      </c>
      <c r="D309" s="27" t="str">
        <v/>
      </c>
    </row>
    <row r="310" spans="2:4" x14ac:dyDescent="0.25">
      <c r="B310" s="27" t="str">
        <v/>
      </c>
      <c r="C310" s="27" t="str">
        <v/>
      </c>
      <c r="D310" s="27" t="str">
        <v/>
      </c>
    </row>
    <row r="311" spans="2:4" x14ac:dyDescent="0.25">
      <c r="B311" s="27" t="str">
        <v/>
      </c>
      <c r="C311" s="27" t="str">
        <v/>
      </c>
      <c r="D311" s="27" t="str">
        <v/>
      </c>
    </row>
    <row r="312" spans="2:4" x14ac:dyDescent="0.25">
      <c r="B312" s="27" t="str">
        <v/>
      </c>
      <c r="C312" s="27" t="str">
        <v/>
      </c>
      <c r="D312" s="27" t="str">
        <v/>
      </c>
    </row>
    <row r="313" spans="2:4" x14ac:dyDescent="0.25">
      <c r="B313" s="27" t="str">
        <v/>
      </c>
      <c r="C313" s="27" t="str">
        <v/>
      </c>
      <c r="D313" s="27" t="str">
        <v/>
      </c>
    </row>
    <row r="314" spans="2:4" x14ac:dyDescent="0.25">
      <c r="B314" s="27" t="str">
        <v/>
      </c>
      <c r="C314" s="27" t="str">
        <v/>
      </c>
      <c r="D314" s="27" t="str">
        <v/>
      </c>
    </row>
    <row r="315" spans="2:4" x14ac:dyDescent="0.25">
      <c r="B315" s="27" t="str">
        <v/>
      </c>
      <c r="C315" s="27" t="str">
        <v/>
      </c>
      <c r="D315" s="27" t="str">
        <v/>
      </c>
    </row>
    <row r="316" spans="2:4" x14ac:dyDescent="0.25">
      <c r="B316" s="27" t="str">
        <v/>
      </c>
      <c r="C316" s="27" t="str">
        <v/>
      </c>
      <c r="D316" s="27" t="str">
        <v/>
      </c>
    </row>
    <row r="317" spans="2:4" x14ac:dyDescent="0.25">
      <c r="B317" s="27" t="str">
        <v/>
      </c>
      <c r="C317" s="27" t="str">
        <v/>
      </c>
      <c r="D317" s="27" t="str">
        <v/>
      </c>
    </row>
    <row r="318" spans="2:4" x14ac:dyDescent="0.25">
      <c r="B318" s="27" t="str">
        <v/>
      </c>
      <c r="C318" s="27" t="str">
        <v/>
      </c>
      <c r="D318" s="27" t="str">
        <v/>
      </c>
    </row>
    <row r="319" spans="2:4" x14ac:dyDescent="0.25">
      <c r="B319" s="27" t="str">
        <v/>
      </c>
      <c r="C319" s="27" t="str">
        <v/>
      </c>
      <c r="D319" s="27" t="str">
        <v/>
      </c>
    </row>
    <row r="320" spans="2:4" x14ac:dyDescent="0.25">
      <c r="B320" s="27" t="str">
        <v/>
      </c>
      <c r="C320" s="27" t="str">
        <v/>
      </c>
      <c r="D320" s="27" t="str">
        <v/>
      </c>
    </row>
    <row r="321" spans="2:4" x14ac:dyDescent="0.25">
      <c r="B321" s="27" t="str">
        <v/>
      </c>
      <c r="C321" s="27" t="str">
        <v/>
      </c>
      <c r="D321" s="27" t="str">
        <v/>
      </c>
    </row>
    <row r="322" spans="2:4" x14ac:dyDescent="0.25">
      <c r="B322" s="27" t="str">
        <v/>
      </c>
      <c r="C322" s="27" t="str">
        <v/>
      </c>
      <c r="D322" s="27" t="str">
        <v/>
      </c>
    </row>
    <row r="323" spans="2:4" x14ac:dyDescent="0.25">
      <c r="B323" s="27" t="str">
        <v/>
      </c>
      <c r="C323" s="27" t="str">
        <v/>
      </c>
      <c r="D323" s="27" t="str">
        <v/>
      </c>
    </row>
    <row r="324" spans="2:4" x14ac:dyDescent="0.25">
      <c r="B324" s="27" t="str">
        <v/>
      </c>
      <c r="C324" s="27" t="str">
        <v/>
      </c>
      <c r="D324" s="27" t="str">
        <v/>
      </c>
    </row>
    <row r="325" spans="2:4" x14ac:dyDescent="0.25">
      <c r="B325" s="27" t="str">
        <v/>
      </c>
      <c r="C325" s="27" t="str">
        <v/>
      </c>
      <c r="D325" s="27" t="str">
        <v/>
      </c>
    </row>
    <row r="326" spans="2:4" x14ac:dyDescent="0.25">
      <c r="B326" s="27" t="str">
        <v/>
      </c>
      <c r="C326" s="27" t="str">
        <v/>
      </c>
      <c r="D326" s="27" t="str">
        <v/>
      </c>
    </row>
    <row r="327" spans="2:4" x14ac:dyDescent="0.25">
      <c r="B327" s="27" t="str">
        <v/>
      </c>
      <c r="C327" s="27" t="str">
        <v/>
      </c>
      <c r="D327" s="27" t="str">
        <v/>
      </c>
    </row>
    <row r="328" spans="2:4" x14ac:dyDescent="0.25">
      <c r="B328" s="27" t="str">
        <v/>
      </c>
      <c r="C328" s="27" t="str">
        <v/>
      </c>
      <c r="D328" s="27" t="str">
        <v/>
      </c>
    </row>
    <row r="329" spans="2:4" x14ac:dyDescent="0.25">
      <c r="B329" s="27" t="str">
        <v/>
      </c>
      <c r="C329" s="27" t="str">
        <v/>
      </c>
      <c r="D329" s="27" t="str">
        <v/>
      </c>
    </row>
    <row r="330" spans="2:4" x14ac:dyDescent="0.25">
      <c r="B330" s="27" t="str">
        <v/>
      </c>
      <c r="C330" s="27" t="str">
        <v/>
      </c>
      <c r="D330" s="27" t="str">
        <v/>
      </c>
    </row>
    <row r="331" spans="2:4" x14ac:dyDescent="0.25">
      <c r="B331" s="27" t="str">
        <v/>
      </c>
      <c r="C331" s="27" t="str">
        <v/>
      </c>
      <c r="D331" s="27" t="str">
        <v/>
      </c>
    </row>
    <row r="332" spans="2:4" x14ac:dyDescent="0.25">
      <c r="B332" s="27" t="str">
        <v/>
      </c>
      <c r="C332" s="27" t="str">
        <v/>
      </c>
      <c r="D332" s="27" t="str">
        <v/>
      </c>
    </row>
    <row r="333" spans="2:4" x14ac:dyDescent="0.25">
      <c r="B333" s="27" t="str">
        <v/>
      </c>
      <c r="C333" s="27" t="str">
        <v/>
      </c>
      <c r="D333" s="27" t="str">
        <v/>
      </c>
    </row>
    <row r="334" spans="2:4" x14ac:dyDescent="0.25">
      <c r="B334" s="27" t="str">
        <v/>
      </c>
      <c r="C334" s="27" t="str">
        <v/>
      </c>
      <c r="D334" s="27" t="str">
        <v/>
      </c>
    </row>
    <row r="335" spans="2:4" x14ac:dyDescent="0.25">
      <c r="B335" s="27" t="str">
        <v/>
      </c>
      <c r="C335" s="27" t="str">
        <v/>
      </c>
      <c r="D335" s="27" t="str">
        <v/>
      </c>
    </row>
    <row r="336" spans="2:4" x14ac:dyDescent="0.25">
      <c r="B336" s="27" t="str">
        <v/>
      </c>
      <c r="C336" s="27" t="str">
        <v/>
      </c>
      <c r="D336" s="27" t="str">
        <v/>
      </c>
    </row>
    <row r="337" spans="2:4" x14ac:dyDescent="0.25">
      <c r="B337" s="27" t="str">
        <v/>
      </c>
      <c r="C337" s="27" t="str">
        <v/>
      </c>
      <c r="D337" s="27" t="str">
        <v/>
      </c>
    </row>
    <row r="338" spans="2:4" x14ac:dyDescent="0.25">
      <c r="B338" s="27" t="str">
        <v/>
      </c>
      <c r="C338" s="27" t="str">
        <v/>
      </c>
      <c r="D338" s="27" t="str">
        <v/>
      </c>
    </row>
    <row r="339" spans="2:4" x14ac:dyDescent="0.25">
      <c r="B339" s="27" t="str">
        <v/>
      </c>
      <c r="C339" s="27" t="str">
        <v/>
      </c>
      <c r="D339" s="27" t="str">
        <v/>
      </c>
    </row>
    <row r="340" spans="2:4" x14ac:dyDescent="0.25">
      <c r="B340" s="27" t="str">
        <v/>
      </c>
      <c r="C340" s="27" t="str">
        <v/>
      </c>
      <c r="D340" s="27" t="str">
        <v/>
      </c>
    </row>
    <row r="341" spans="2:4" x14ac:dyDescent="0.25">
      <c r="B341" s="27" t="str">
        <v/>
      </c>
      <c r="C341" s="27" t="str">
        <v/>
      </c>
      <c r="D341" s="27" t="str">
        <v/>
      </c>
    </row>
    <row r="342" spans="2:4" x14ac:dyDescent="0.25">
      <c r="B342" s="27" t="str">
        <v/>
      </c>
      <c r="C342" s="27" t="str">
        <v/>
      </c>
      <c r="D342" s="27" t="str">
        <v/>
      </c>
    </row>
    <row r="343" spans="2:4" x14ac:dyDescent="0.25">
      <c r="B343" s="27" t="str">
        <v/>
      </c>
      <c r="C343" s="27" t="str">
        <v/>
      </c>
      <c r="D343" s="27" t="str">
        <v/>
      </c>
    </row>
    <row r="344" spans="2:4" x14ac:dyDescent="0.25">
      <c r="B344" s="27" t="str">
        <v/>
      </c>
      <c r="C344" s="27" t="str">
        <v/>
      </c>
      <c r="D344" s="27" t="str">
        <v/>
      </c>
    </row>
    <row r="345" spans="2:4" x14ac:dyDescent="0.25">
      <c r="B345" s="27" t="str">
        <v/>
      </c>
      <c r="C345" s="27" t="str">
        <v/>
      </c>
      <c r="D345" s="27" t="str">
        <v/>
      </c>
    </row>
    <row r="346" spans="2:4" x14ac:dyDescent="0.25">
      <c r="B346" s="27" t="str">
        <v/>
      </c>
      <c r="C346" s="27" t="str">
        <v/>
      </c>
      <c r="D346" s="27" t="str">
        <v/>
      </c>
    </row>
    <row r="347" spans="2:4" x14ac:dyDescent="0.25">
      <c r="B347" s="27" t="str">
        <v/>
      </c>
      <c r="C347" s="27" t="str">
        <v/>
      </c>
      <c r="D347" s="27" t="str">
        <v/>
      </c>
    </row>
    <row r="348" spans="2:4" x14ac:dyDescent="0.25">
      <c r="B348" s="27" t="str">
        <v/>
      </c>
      <c r="C348" s="27" t="str">
        <v/>
      </c>
      <c r="D348" s="27" t="str">
        <v/>
      </c>
    </row>
    <row r="349" spans="2:4" x14ac:dyDescent="0.25">
      <c r="B349" s="27" t="str">
        <v/>
      </c>
      <c r="C349" s="27" t="str">
        <v/>
      </c>
      <c r="D349" s="27" t="str">
        <v/>
      </c>
    </row>
    <row r="350" spans="2:4" x14ac:dyDescent="0.25">
      <c r="B350" s="27" t="str">
        <v/>
      </c>
      <c r="C350" s="27" t="str">
        <v/>
      </c>
      <c r="D350" s="27" t="str">
        <v/>
      </c>
    </row>
    <row r="351" spans="2:4" x14ac:dyDescent="0.25">
      <c r="B351" s="27" t="str">
        <v/>
      </c>
      <c r="C351" s="27" t="str">
        <v/>
      </c>
      <c r="D351" s="27" t="str">
        <v/>
      </c>
    </row>
    <row r="352" spans="2:4" x14ac:dyDescent="0.25">
      <c r="B352" s="27" t="str">
        <v/>
      </c>
      <c r="C352" s="27" t="str">
        <v/>
      </c>
      <c r="D352" s="27" t="str">
        <v/>
      </c>
    </row>
    <row r="353" spans="2:4" x14ac:dyDescent="0.25">
      <c r="B353" s="27" t="str">
        <v/>
      </c>
      <c r="C353" s="27" t="str">
        <v/>
      </c>
      <c r="D353" s="27" t="str">
        <v/>
      </c>
    </row>
    <row r="354" spans="2:4" x14ac:dyDescent="0.25">
      <c r="B354" s="27" t="str">
        <v/>
      </c>
      <c r="C354" s="27" t="str">
        <v/>
      </c>
      <c r="D354" s="27" t="str">
        <v/>
      </c>
    </row>
    <row r="355" spans="2:4" x14ac:dyDescent="0.25">
      <c r="B355" s="27" t="str">
        <v/>
      </c>
      <c r="C355" s="27" t="str">
        <v/>
      </c>
      <c r="D355" s="27" t="str">
        <v/>
      </c>
    </row>
    <row r="356" spans="2:4" x14ac:dyDescent="0.25">
      <c r="B356" s="27" t="str">
        <v/>
      </c>
      <c r="C356" s="27" t="str">
        <v/>
      </c>
      <c r="D356" s="27" t="str">
        <v/>
      </c>
    </row>
    <row r="357" spans="2:4" x14ac:dyDescent="0.25">
      <c r="B357" s="27" t="str">
        <v/>
      </c>
      <c r="C357" s="27" t="str">
        <v/>
      </c>
      <c r="D357" s="27" t="str">
        <v/>
      </c>
    </row>
    <row r="358" spans="2:4" x14ac:dyDescent="0.25">
      <c r="B358" s="27" t="str">
        <v/>
      </c>
      <c r="C358" s="27" t="str">
        <v/>
      </c>
      <c r="D358" s="27" t="str">
        <v/>
      </c>
    </row>
    <row r="359" spans="2:4" x14ac:dyDescent="0.25">
      <c r="B359" s="27" t="str">
        <v/>
      </c>
      <c r="C359" s="27" t="str">
        <v/>
      </c>
      <c r="D359" s="27" t="str">
        <v/>
      </c>
    </row>
    <row r="360" spans="2:4" x14ac:dyDescent="0.25">
      <c r="B360" s="27" t="str">
        <v/>
      </c>
      <c r="C360" s="27" t="str">
        <v/>
      </c>
      <c r="D360" s="27" t="str">
        <v/>
      </c>
    </row>
    <row r="361" spans="2:4" x14ac:dyDescent="0.25">
      <c r="B361" s="27" t="str">
        <v/>
      </c>
      <c r="C361" s="27" t="str">
        <v/>
      </c>
      <c r="D361" s="27" t="str">
        <v/>
      </c>
    </row>
    <row r="362" spans="2:4" x14ac:dyDescent="0.25">
      <c r="B362" s="27" t="str">
        <v/>
      </c>
      <c r="C362" s="27" t="str">
        <v/>
      </c>
      <c r="D362" s="27" t="str">
        <v/>
      </c>
    </row>
    <row r="363" spans="2:4" x14ac:dyDescent="0.25">
      <c r="B363" s="27" t="str">
        <v/>
      </c>
      <c r="C363" s="27" t="str">
        <v/>
      </c>
      <c r="D363" s="27" t="str">
        <v/>
      </c>
    </row>
    <row r="364" spans="2:4" x14ac:dyDescent="0.25">
      <c r="B364" s="27" t="str">
        <v/>
      </c>
      <c r="C364" s="27" t="str">
        <v/>
      </c>
      <c r="D364" s="27" t="str">
        <v/>
      </c>
    </row>
    <row r="365" spans="2:4" x14ac:dyDescent="0.25">
      <c r="B365" s="27" t="str">
        <v/>
      </c>
      <c r="C365" s="27" t="str">
        <v/>
      </c>
      <c r="D365" s="27" t="str">
        <v/>
      </c>
    </row>
    <row r="366" spans="2:4" x14ac:dyDescent="0.25">
      <c r="B366" s="27" t="str">
        <v/>
      </c>
      <c r="C366" s="27" t="str">
        <v/>
      </c>
      <c r="D366" s="27" t="str">
        <v/>
      </c>
    </row>
    <row r="367" spans="2:4" x14ac:dyDescent="0.25">
      <c r="B367" s="27" t="str">
        <v/>
      </c>
      <c r="C367" s="27" t="str">
        <v/>
      </c>
      <c r="D367" s="27" t="str">
        <v/>
      </c>
    </row>
    <row r="368" spans="2:4" x14ac:dyDescent="0.25">
      <c r="B368" s="27" t="str">
        <v/>
      </c>
      <c r="C368" s="27" t="str">
        <v/>
      </c>
      <c r="D368" s="27" t="str">
        <v/>
      </c>
    </row>
    <row r="369" spans="2:4" x14ac:dyDescent="0.25">
      <c r="B369" s="27" t="str">
        <v/>
      </c>
      <c r="C369" s="27" t="str">
        <v/>
      </c>
      <c r="D369" s="27" t="str">
        <v/>
      </c>
    </row>
    <row r="370" spans="2:4" x14ac:dyDescent="0.25">
      <c r="B370" s="27" t="str">
        <v/>
      </c>
      <c r="C370" s="27" t="str">
        <v/>
      </c>
      <c r="D370" s="27" t="str">
        <v/>
      </c>
    </row>
    <row r="371" spans="2:4" x14ac:dyDescent="0.25">
      <c r="B371" s="27" t="str">
        <v/>
      </c>
      <c r="C371" s="27" t="str">
        <v/>
      </c>
      <c r="D371" s="27" t="str">
        <v/>
      </c>
    </row>
    <row r="372" spans="2:4" x14ac:dyDescent="0.25">
      <c r="B372" s="27" t="str">
        <v/>
      </c>
      <c r="C372" s="27" t="str">
        <v/>
      </c>
      <c r="D372" s="27" t="str">
        <v/>
      </c>
    </row>
    <row r="373" spans="2:4" x14ac:dyDescent="0.25">
      <c r="B373" s="27" t="str">
        <v/>
      </c>
      <c r="C373" s="27" t="str">
        <v/>
      </c>
      <c r="D373" s="27" t="str">
        <v/>
      </c>
    </row>
    <row r="374" spans="2:4" x14ac:dyDescent="0.25">
      <c r="B374" s="27" t="str">
        <v/>
      </c>
      <c r="C374" s="27" t="str">
        <v/>
      </c>
      <c r="D374" s="27" t="str">
        <v/>
      </c>
    </row>
    <row r="375" spans="2:4" x14ac:dyDescent="0.25">
      <c r="B375" s="27" t="str">
        <v/>
      </c>
      <c r="C375" s="27" t="str">
        <v/>
      </c>
      <c r="D375" s="27" t="str">
        <v/>
      </c>
    </row>
    <row r="376" spans="2:4" x14ac:dyDescent="0.25">
      <c r="B376" s="27" t="str">
        <v/>
      </c>
      <c r="C376" s="27" t="str">
        <v/>
      </c>
      <c r="D376" s="27" t="str">
        <v/>
      </c>
    </row>
    <row r="377" spans="2:4" x14ac:dyDescent="0.25">
      <c r="B377" s="27" t="str">
        <v/>
      </c>
      <c r="C377" s="27" t="str">
        <v/>
      </c>
      <c r="D377" s="27" t="str">
        <v/>
      </c>
    </row>
    <row r="378" spans="2:4" x14ac:dyDescent="0.25">
      <c r="B378" s="27" t="str">
        <v/>
      </c>
      <c r="C378" s="27" t="str">
        <v/>
      </c>
      <c r="D378" s="27" t="str">
        <v/>
      </c>
    </row>
    <row r="379" spans="2:4" x14ac:dyDescent="0.25">
      <c r="B379" s="27" t="str">
        <v/>
      </c>
      <c r="C379" s="27" t="str">
        <v/>
      </c>
      <c r="D379" s="27" t="str">
        <v/>
      </c>
    </row>
    <row r="380" spans="2:4" x14ac:dyDescent="0.25">
      <c r="B380" s="27" t="str">
        <v/>
      </c>
      <c r="C380" s="27" t="str">
        <v/>
      </c>
      <c r="D380" s="27" t="str">
        <v/>
      </c>
    </row>
    <row r="381" spans="2:4" x14ac:dyDescent="0.25">
      <c r="B381" s="27" t="str">
        <v/>
      </c>
      <c r="C381" s="27" t="str">
        <v/>
      </c>
      <c r="D381" s="27" t="str">
        <v/>
      </c>
    </row>
    <row r="382" spans="2:4" x14ac:dyDescent="0.25">
      <c r="B382" s="27" t="str">
        <v/>
      </c>
      <c r="C382" s="27" t="str">
        <v/>
      </c>
      <c r="D382" s="27" t="str">
        <v/>
      </c>
    </row>
    <row r="383" spans="2:4" x14ac:dyDescent="0.25">
      <c r="B383" s="27" t="str">
        <v/>
      </c>
      <c r="C383" s="27" t="str">
        <v/>
      </c>
      <c r="D383" s="27" t="str">
        <v/>
      </c>
    </row>
    <row r="384" spans="2:4" x14ac:dyDescent="0.25">
      <c r="B384" s="27" t="str">
        <v/>
      </c>
      <c r="C384" s="27" t="str">
        <v/>
      </c>
      <c r="D384" s="27" t="str">
        <v/>
      </c>
    </row>
    <row r="385" spans="2:4" x14ac:dyDescent="0.25">
      <c r="B385" s="27" t="str">
        <v/>
      </c>
      <c r="C385" s="27" t="str">
        <v/>
      </c>
      <c r="D385" s="27" t="str">
        <v/>
      </c>
    </row>
    <row r="386" spans="2:4" x14ac:dyDescent="0.25">
      <c r="B386" s="27" t="str">
        <v/>
      </c>
      <c r="C386" s="27" t="str">
        <v/>
      </c>
      <c r="D386" s="27" t="str">
        <v/>
      </c>
    </row>
    <row r="387" spans="2:4" x14ac:dyDescent="0.25">
      <c r="B387" s="27" t="str">
        <v/>
      </c>
      <c r="C387" s="27" t="str">
        <v/>
      </c>
      <c r="D387" s="27" t="str">
        <v/>
      </c>
    </row>
    <row r="388" spans="2:4" x14ac:dyDescent="0.25">
      <c r="B388" s="27" t="str">
        <v/>
      </c>
      <c r="C388" s="27" t="str">
        <v/>
      </c>
      <c r="D388" s="27" t="str">
        <v/>
      </c>
    </row>
    <row r="389" spans="2:4" x14ac:dyDescent="0.25">
      <c r="B389" s="27" t="str">
        <v/>
      </c>
      <c r="C389" s="27" t="str">
        <v/>
      </c>
      <c r="D389" s="27" t="str">
        <v/>
      </c>
    </row>
    <row r="390" spans="2:4" x14ac:dyDescent="0.25">
      <c r="B390" s="27" t="str">
        <v/>
      </c>
      <c r="C390" s="27" t="str">
        <v/>
      </c>
      <c r="D390" s="27" t="str">
        <v/>
      </c>
    </row>
    <row r="391" spans="2:4" x14ac:dyDescent="0.25">
      <c r="B391" s="27" t="str">
        <v/>
      </c>
      <c r="C391" s="27" t="str">
        <v/>
      </c>
      <c r="D391" s="27" t="str">
        <v/>
      </c>
    </row>
    <row r="392" spans="2:4" x14ac:dyDescent="0.25">
      <c r="B392" s="27" t="str">
        <v/>
      </c>
      <c r="C392" s="27" t="str">
        <v/>
      </c>
      <c r="D392" s="27" t="str">
        <v/>
      </c>
    </row>
    <row r="393" spans="2:4" x14ac:dyDescent="0.25">
      <c r="B393" s="27" t="str">
        <v/>
      </c>
      <c r="C393" s="27" t="str">
        <v/>
      </c>
      <c r="D393" s="27" t="str">
        <v/>
      </c>
    </row>
    <row r="394" spans="2:4" x14ac:dyDescent="0.25">
      <c r="B394" s="27" t="str">
        <v/>
      </c>
      <c r="C394" s="27" t="str">
        <v/>
      </c>
      <c r="D394" s="27" t="str">
        <v/>
      </c>
    </row>
    <row r="395" spans="2:4" x14ac:dyDescent="0.25">
      <c r="B395" s="27" t="str">
        <v/>
      </c>
      <c r="C395" s="27" t="str">
        <v/>
      </c>
      <c r="D395" s="27" t="str">
        <v/>
      </c>
    </row>
    <row r="396" spans="2:4" x14ac:dyDescent="0.25">
      <c r="B396" s="27" t="str">
        <v/>
      </c>
      <c r="C396" s="27" t="str">
        <v/>
      </c>
      <c r="D396" s="27" t="str">
        <v/>
      </c>
    </row>
    <row r="397" spans="2:4" x14ac:dyDescent="0.25">
      <c r="B397" s="27" t="str">
        <v/>
      </c>
      <c r="C397" s="27" t="str">
        <v/>
      </c>
      <c r="D397" s="27" t="str">
        <v/>
      </c>
    </row>
    <row r="398" spans="2:4" x14ac:dyDescent="0.25">
      <c r="B398" s="27" t="str">
        <v/>
      </c>
      <c r="C398" s="27" t="str">
        <v/>
      </c>
      <c r="D398" s="27" t="str">
        <v/>
      </c>
    </row>
    <row r="399" spans="2:4" x14ac:dyDescent="0.25">
      <c r="B399" s="27" t="str">
        <v/>
      </c>
      <c r="C399" s="27" t="str">
        <v/>
      </c>
      <c r="D399" s="27" t="str">
        <v/>
      </c>
    </row>
    <row r="400" spans="2:4" x14ac:dyDescent="0.25">
      <c r="B400" s="27" t="str">
        <v/>
      </c>
      <c r="C400" s="27" t="str">
        <v/>
      </c>
      <c r="D400" s="27" t="str">
        <v/>
      </c>
    </row>
    <row r="401" spans="2:4" x14ac:dyDescent="0.25">
      <c r="B401" s="27" t="str">
        <v/>
      </c>
      <c r="C401" s="27" t="str">
        <v/>
      </c>
      <c r="D401" s="27" t="str">
        <v/>
      </c>
    </row>
    <row r="402" spans="2:4" x14ac:dyDescent="0.25">
      <c r="B402" s="27" t="str">
        <v/>
      </c>
      <c r="C402" s="27" t="str">
        <v/>
      </c>
      <c r="D402" s="27" t="str">
        <v/>
      </c>
    </row>
    <row r="403" spans="2:4" x14ac:dyDescent="0.25">
      <c r="B403" s="27" t="str">
        <v/>
      </c>
      <c r="C403" s="27" t="str">
        <v/>
      </c>
      <c r="D403" s="27" t="str">
        <v/>
      </c>
    </row>
    <row r="404" spans="2:4" x14ac:dyDescent="0.25">
      <c r="B404" s="27" t="str">
        <v/>
      </c>
      <c r="C404" s="27" t="str">
        <v/>
      </c>
      <c r="D404" s="27" t="str">
        <v/>
      </c>
    </row>
    <row r="405" spans="2:4" x14ac:dyDescent="0.25">
      <c r="B405" s="27" t="str">
        <v/>
      </c>
      <c r="C405" s="27" t="str">
        <v/>
      </c>
      <c r="D405" s="27" t="str">
        <v/>
      </c>
    </row>
    <row r="406" spans="2:4" x14ac:dyDescent="0.25">
      <c r="B406" s="27" t="str">
        <v/>
      </c>
      <c r="C406" s="27" t="str">
        <v/>
      </c>
      <c r="D406" s="27" t="str">
        <v/>
      </c>
    </row>
    <row r="407" spans="2:4" x14ac:dyDescent="0.25">
      <c r="B407" s="27" t="str">
        <v/>
      </c>
      <c r="C407" s="27" t="str">
        <v/>
      </c>
      <c r="D407" s="27" t="str">
        <v/>
      </c>
    </row>
    <row r="408" spans="2:4" x14ac:dyDescent="0.25">
      <c r="B408" s="27" t="str">
        <v/>
      </c>
      <c r="C408" s="27" t="str">
        <v/>
      </c>
      <c r="D408" s="27" t="str">
        <v/>
      </c>
    </row>
    <row r="409" spans="2:4" x14ac:dyDescent="0.25">
      <c r="B409" s="27" t="str">
        <v/>
      </c>
      <c r="C409" s="27" t="str">
        <v/>
      </c>
      <c r="D409" s="27" t="str">
        <v/>
      </c>
    </row>
    <row r="410" spans="2:4" x14ac:dyDescent="0.25">
      <c r="B410" s="27" t="str">
        <v/>
      </c>
      <c r="C410" s="27" t="str">
        <v/>
      </c>
      <c r="D410" s="27" t="str">
        <v/>
      </c>
    </row>
    <row r="411" spans="2:4" x14ac:dyDescent="0.25">
      <c r="B411" s="27" t="str">
        <v/>
      </c>
      <c r="C411" s="27" t="str">
        <v/>
      </c>
      <c r="D411" s="27" t="str">
        <v/>
      </c>
    </row>
    <row r="412" spans="2:4" x14ac:dyDescent="0.25">
      <c r="B412" s="27" t="str">
        <v/>
      </c>
      <c r="C412" s="27" t="str">
        <v/>
      </c>
      <c r="D412" s="27" t="str">
        <v/>
      </c>
    </row>
    <row r="413" spans="2:4" x14ac:dyDescent="0.25">
      <c r="B413" s="27" t="str">
        <v/>
      </c>
      <c r="C413" s="27" t="str">
        <v/>
      </c>
      <c r="D413" s="27" t="str">
        <v/>
      </c>
    </row>
    <row r="414" spans="2:4" x14ac:dyDescent="0.25">
      <c r="B414" s="27" t="str">
        <v/>
      </c>
      <c r="C414" s="27" t="str">
        <v/>
      </c>
      <c r="D414" s="27" t="str">
        <v/>
      </c>
    </row>
    <row r="415" spans="2:4" x14ac:dyDescent="0.25">
      <c r="B415" s="27" t="str">
        <v/>
      </c>
      <c r="C415" s="27" t="str">
        <v/>
      </c>
      <c r="D415" s="27" t="str">
        <v/>
      </c>
    </row>
    <row r="416" spans="2:4" x14ac:dyDescent="0.25">
      <c r="B416" s="27" t="str">
        <v/>
      </c>
      <c r="C416" s="27" t="str">
        <v/>
      </c>
      <c r="D416" s="27" t="str">
        <v/>
      </c>
    </row>
    <row r="417" spans="2:4" x14ac:dyDescent="0.25">
      <c r="B417" s="27" t="str">
        <v/>
      </c>
      <c r="C417" s="27" t="str">
        <v/>
      </c>
      <c r="D417" s="27" t="str">
        <v/>
      </c>
    </row>
    <row r="418" spans="2:4" x14ac:dyDescent="0.25">
      <c r="B418" s="27" t="str">
        <v/>
      </c>
      <c r="C418" s="27" t="str">
        <v/>
      </c>
      <c r="D418" s="27" t="str">
        <v/>
      </c>
    </row>
    <row r="419" spans="2:4" x14ac:dyDescent="0.25">
      <c r="B419" s="27" t="str">
        <v/>
      </c>
      <c r="C419" s="27" t="str">
        <v/>
      </c>
      <c r="D419" s="27" t="str">
        <v/>
      </c>
    </row>
    <row r="420" spans="2:4" x14ac:dyDescent="0.25">
      <c r="B420" s="27" t="str">
        <v/>
      </c>
      <c r="C420" s="27" t="str">
        <v/>
      </c>
      <c r="D420" s="27" t="str">
        <v/>
      </c>
    </row>
    <row r="421" spans="2:4" x14ac:dyDescent="0.25">
      <c r="B421" s="27" t="str">
        <v/>
      </c>
      <c r="C421" s="27" t="str">
        <v/>
      </c>
      <c r="D421" s="27" t="str">
        <v/>
      </c>
    </row>
    <row r="422" spans="2:4" x14ac:dyDescent="0.25">
      <c r="B422" s="27" t="str">
        <v/>
      </c>
      <c r="C422" s="27" t="str">
        <v/>
      </c>
      <c r="D422" s="27" t="str">
        <v/>
      </c>
    </row>
    <row r="423" spans="2:4" x14ac:dyDescent="0.25">
      <c r="B423" s="27" t="str">
        <v/>
      </c>
      <c r="C423" s="27" t="str">
        <v/>
      </c>
      <c r="D423" s="27" t="str">
        <v/>
      </c>
    </row>
    <row r="424" spans="2:4" x14ac:dyDescent="0.25">
      <c r="B424" s="27" t="str">
        <v/>
      </c>
      <c r="C424" s="27" t="str">
        <v/>
      </c>
      <c r="D424" s="27" t="str">
        <v/>
      </c>
    </row>
    <row r="425" spans="2:4" x14ac:dyDescent="0.25">
      <c r="B425" s="27" t="str">
        <v/>
      </c>
      <c r="C425" s="27" t="str">
        <v/>
      </c>
      <c r="D425" s="27" t="str">
        <v/>
      </c>
    </row>
    <row r="426" spans="2:4" x14ac:dyDescent="0.25">
      <c r="B426" s="27" t="str">
        <v/>
      </c>
      <c r="C426" s="27" t="str">
        <v/>
      </c>
      <c r="D426" s="27" t="str">
        <v/>
      </c>
    </row>
    <row r="427" spans="2:4" x14ac:dyDescent="0.25">
      <c r="B427" s="27" t="str">
        <v/>
      </c>
      <c r="C427" s="27" t="str">
        <v/>
      </c>
      <c r="D427" s="27" t="str">
        <v/>
      </c>
    </row>
    <row r="428" spans="2:4" x14ac:dyDescent="0.25">
      <c r="B428" s="27" t="str">
        <v/>
      </c>
      <c r="C428" s="27" t="str">
        <v/>
      </c>
      <c r="D428" s="27" t="str">
        <v/>
      </c>
    </row>
    <row r="429" spans="2:4" x14ac:dyDescent="0.25">
      <c r="B429" s="27" t="str">
        <v/>
      </c>
      <c r="C429" s="27" t="str">
        <v/>
      </c>
      <c r="D429" s="27" t="str">
        <v/>
      </c>
    </row>
    <row r="430" spans="2:4" x14ac:dyDescent="0.25">
      <c r="B430" s="27" t="str">
        <v/>
      </c>
      <c r="C430" s="27" t="str">
        <v/>
      </c>
      <c r="D430" s="27" t="str">
        <v/>
      </c>
    </row>
    <row r="431" spans="2:4" x14ac:dyDescent="0.25">
      <c r="B431" s="27" t="str">
        <v/>
      </c>
      <c r="C431" s="27" t="str">
        <v/>
      </c>
      <c r="D431" s="27" t="str">
        <v/>
      </c>
    </row>
    <row r="432" spans="2:4" x14ac:dyDescent="0.25">
      <c r="B432" s="27" t="str">
        <v/>
      </c>
      <c r="C432" s="27" t="str">
        <v/>
      </c>
      <c r="D432" s="27" t="str">
        <v/>
      </c>
    </row>
    <row r="433" spans="2:4" x14ac:dyDescent="0.25">
      <c r="B433" s="27" t="str">
        <v/>
      </c>
      <c r="C433" s="27" t="str">
        <v/>
      </c>
      <c r="D433" s="27" t="str">
        <v/>
      </c>
    </row>
    <row r="434" spans="2:4" x14ac:dyDescent="0.25">
      <c r="B434" s="27" t="str">
        <v/>
      </c>
      <c r="C434" s="27" t="str">
        <v/>
      </c>
      <c r="D434" s="27" t="str">
        <v/>
      </c>
    </row>
    <row r="435" spans="2:4" x14ac:dyDescent="0.25">
      <c r="B435" s="27" t="str">
        <v/>
      </c>
      <c r="C435" s="27" t="str">
        <v/>
      </c>
      <c r="D435" s="27" t="str">
        <v/>
      </c>
    </row>
    <row r="436" spans="2:4" x14ac:dyDescent="0.25">
      <c r="B436" s="27" t="str">
        <v/>
      </c>
      <c r="C436" s="27" t="str">
        <v/>
      </c>
      <c r="D436" s="27" t="str">
        <v/>
      </c>
    </row>
    <row r="437" spans="2:4" x14ac:dyDescent="0.25">
      <c r="B437" s="27" t="str">
        <v/>
      </c>
      <c r="C437" s="27" t="str">
        <v/>
      </c>
      <c r="D437" s="27" t="str">
        <v/>
      </c>
    </row>
    <row r="438" spans="2:4" x14ac:dyDescent="0.25">
      <c r="B438" s="27" t="str">
        <v/>
      </c>
      <c r="C438" s="27" t="str">
        <v/>
      </c>
      <c r="D438" s="27" t="str">
        <v/>
      </c>
    </row>
    <row r="439" spans="2:4" x14ac:dyDescent="0.25">
      <c r="B439" s="27" t="str">
        <v/>
      </c>
      <c r="C439" s="27" t="str">
        <v/>
      </c>
      <c r="D439" s="27" t="str">
        <v/>
      </c>
    </row>
    <row r="440" spans="2:4" x14ac:dyDescent="0.25">
      <c r="B440" s="27" t="str">
        <v/>
      </c>
      <c r="C440" s="27" t="str">
        <v/>
      </c>
      <c r="D440" s="27" t="str">
        <v/>
      </c>
    </row>
    <row r="441" spans="2:4" x14ac:dyDescent="0.25">
      <c r="B441" s="27" t="str">
        <v/>
      </c>
      <c r="C441" s="27" t="str">
        <v/>
      </c>
      <c r="D441" s="27" t="str">
        <v/>
      </c>
    </row>
    <row r="442" spans="2:4" x14ac:dyDescent="0.25">
      <c r="B442" s="27" t="str">
        <v/>
      </c>
      <c r="C442" s="27" t="str">
        <v/>
      </c>
      <c r="D442" s="27" t="str">
        <v/>
      </c>
    </row>
    <row r="443" spans="2:4" x14ac:dyDescent="0.25">
      <c r="B443" s="27" t="str">
        <v/>
      </c>
      <c r="C443" s="27" t="str">
        <v/>
      </c>
      <c r="D443" s="27" t="str">
        <v/>
      </c>
    </row>
    <row r="444" spans="2:4" x14ac:dyDescent="0.25">
      <c r="B444" s="27" t="str">
        <v/>
      </c>
      <c r="C444" s="27" t="str">
        <v/>
      </c>
      <c r="D444" s="27" t="str">
        <v/>
      </c>
    </row>
    <row r="445" spans="2:4" x14ac:dyDescent="0.25">
      <c r="B445" s="27" t="str">
        <v/>
      </c>
      <c r="C445" s="27" t="str">
        <v/>
      </c>
      <c r="D445" s="27" t="str">
        <v/>
      </c>
    </row>
    <row r="446" spans="2:4" x14ac:dyDescent="0.25">
      <c r="B446" s="27" t="str">
        <v/>
      </c>
      <c r="C446" s="27" t="str">
        <v/>
      </c>
      <c r="D446" s="27" t="str">
        <v/>
      </c>
    </row>
    <row r="447" spans="2:4" x14ac:dyDescent="0.25">
      <c r="B447" s="27" t="str">
        <v/>
      </c>
      <c r="C447" s="27" t="str">
        <v/>
      </c>
      <c r="D447" s="27" t="str">
        <v/>
      </c>
    </row>
    <row r="448" spans="2:4" x14ac:dyDescent="0.25">
      <c r="B448" s="27" t="str">
        <v/>
      </c>
      <c r="C448" s="27" t="str">
        <v/>
      </c>
      <c r="D448" s="27" t="str">
        <v/>
      </c>
    </row>
    <row r="449" spans="2:4" x14ac:dyDescent="0.25">
      <c r="B449" s="27" t="str">
        <v/>
      </c>
      <c r="C449" s="27" t="str">
        <v/>
      </c>
      <c r="D449" s="27" t="str">
        <v/>
      </c>
    </row>
    <row r="450" spans="2:4" x14ac:dyDescent="0.25">
      <c r="B450" s="27" t="str">
        <v/>
      </c>
      <c r="C450" s="27" t="str">
        <v/>
      </c>
      <c r="D450" s="27" t="str">
        <v/>
      </c>
    </row>
    <row r="451" spans="2:4" x14ac:dyDescent="0.25">
      <c r="B451" s="27" t="str">
        <v/>
      </c>
      <c r="C451" s="27" t="str">
        <v/>
      </c>
      <c r="D451" s="27" t="str">
        <v/>
      </c>
    </row>
    <row r="452" spans="2:4" x14ac:dyDescent="0.25">
      <c r="B452" s="27" t="str">
        <v/>
      </c>
      <c r="C452" s="27" t="str">
        <v/>
      </c>
      <c r="D452" s="27" t="str">
        <v/>
      </c>
    </row>
    <row r="453" spans="2:4" x14ac:dyDescent="0.25">
      <c r="B453" s="27" t="str">
        <v/>
      </c>
      <c r="C453" s="27" t="str">
        <v/>
      </c>
      <c r="D453" s="27" t="str">
        <v/>
      </c>
    </row>
    <row r="454" spans="2:4" x14ac:dyDescent="0.25">
      <c r="B454" s="27" t="str">
        <v/>
      </c>
      <c r="C454" s="27" t="str">
        <v/>
      </c>
      <c r="D454" s="27" t="str">
        <v/>
      </c>
    </row>
    <row r="455" spans="2:4" x14ac:dyDescent="0.25">
      <c r="B455" s="27" t="str">
        <v/>
      </c>
      <c r="C455" s="27" t="str">
        <v/>
      </c>
      <c r="D455" s="27" t="str">
        <v/>
      </c>
    </row>
    <row r="456" spans="2:4" x14ac:dyDescent="0.25">
      <c r="B456" s="27" t="str">
        <v/>
      </c>
      <c r="C456" s="27" t="str">
        <v/>
      </c>
      <c r="D456" s="27" t="str">
        <v/>
      </c>
    </row>
    <row r="457" spans="2:4" x14ac:dyDescent="0.25">
      <c r="B457" s="27" t="str">
        <v/>
      </c>
      <c r="C457" s="27" t="str">
        <v/>
      </c>
      <c r="D457" s="27" t="str">
        <v/>
      </c>
    </row>
    <row r="458" spans="2:4" x14ac:dyDescent="0.25">
      <c r="B458" s="27" t="str">
        <v/>
      </c>
      <c r="C458" s="27" t="str">
        <v/>
      </c>
      <c r="D458" s="27" t="str">
        <v/>
      </c>
    </row>
    <row r="459" spans="2:4" x14ac:dyDescent="0.25">
      <c r="B459" s="27" t="str">
        <v/>
      </c>
      <c r="C459" s="27" t="str">
        <v/>
      </c>
      <c r="D459" s="27" t="str">
        <v/>
      </c>
    </row>
    <row r="460" spans="2:4" x14ac:dyDescent="0.25">
      <c r="B460" s="27" t="str">
        <v/>
      </c>
      <c r="C460" s="27" t="str">
        <v/>
      </c>
      <c r="D460" s="27" t="str">
        <v/>
      </c>
    </row>
    <row r="461" spans="2:4" x14ac:dyDescent="0.25">
      <c r="B461" s="27" t="str">
        <v/>
      </c>
      <c r="C461" s="27" t="str">
        <v/>
      </c>
      <c r="D461" s="27" t="str">
        <v/>
      </c>
    </row>
    <row r="462" spans="2:4" x14ac:dyDescent="0.25">
      <c r="B462" s="27" t="str">
        <v/>
      </c>
      <c r="C462" s="27" t="str">
        <v/>
      </c>
      <c r="D462" s="27" t="str">
        <v/>
      </c>
    </row>
    <row r="463" spans="2:4" x14ac:dyDescent="0.25">
      <c r="B463" s="27" t="str">
        <v/>
      </c>
      <c r="C463" s="27" t="str">
        <v/>
      </c>
      <c r="D463" s="27" t="str">
        <v/>
      </c>
    </row>
    <row r="464" spans="2:4" x14ac:dyDescent="0.25">
      <c r="B464" s="27" t="str">
        <v/>
      </c>
      <c r="C464" s="27" t="str">
        <v/>
      </c>
      <c r="D464" s="27" t="str">
        <v/>
      </c>
    </row>
    <row r="465" spans="2:4" x14ac:dyDescent="0.25">
      <c r="B465" s="27" t="str">
        <v/>
      </c>
      <c r="C465" s="27" t="str">
        <v/>
      </c>
      <c r="D465" s="27" t="str">
        <v/>
      </c>
    </row>
    <row r="466" spans="2:4" x14ac:dyDescent="0.25">
      <c r="B466" s="27" t="str">
        <v/>
      </c>
      <c r="C466" s="27" t="str">
        <v/>
      </c>
      <c r="D466" s="27" t="str">
        <v/>
      </c>
    </row>
    <row r="467" spans="2:4" x14ac:dyDescent="0.25">
      <c r="B467" s="27" t="str">
        <v/>
      </c>
      <c r="C467" s="27" t="str">
        <v/>
      </c>
      <c r="D467" s="27" t="str">
        <v/>
      </c>
    </row>
    <row r="468" spans="2:4" x14ac:dyDescent="0.25">
      <c r="B468" s="27" t="str">
        <v/>
      </c>
      <c r="C468" s="27" t="str">
        <v/>
      </c>
      <c r="D468" s="27" t="str">
        <v/>
      </c>
    </row>
    <row r="469" spans="2:4" x14ac:dyDescent="0.25">
      <c r="B469" s="27" t="str">
        <v/>
      </c>
      <c r="C469" s="27" t="str">
        <v/>
      </c>
      <c r="D469" s="27" t="str">
        <v/>
      </c>
    </row>
    <row r="470" spans="2:4" x14ac:dyDescent="0.25">
      <c r="B470" s="27" t="str">
        <v/>
      </c>
      <c r="C470" s="27" t="str">
        <v/>
      </c>
      <c r="D470" s="27" t="str">
        <v/>
      </c>
    </row>
    <row r="471" spans="2:4" x14ac:dyDescent="0.25">
      <c r="B471" s="27" t="str">
        <v/>
      </c>
      <c r="C471" s="27" t="str">
        <v/>
      </c>
      <c r="D471" s="27" t="str">
        <v/>
      </c>
    </row>
    <row r="472" spans="2:4" x14ac:dyDescent="0.25">
      <c r="B472" s="27" t="str">
        <v/>
      </c>
      <c r="C472" s="27" t="str">
        <v/>
      </c>
      <c r="D472" s="27" t="str">
        <v/>
      </c>
    </row>
    <row r="473" spans="2:4" x14ac:dyDescent="0.25">
      <c r="B473" s="27" t="str">
        <v/>
      </c>
      <c r="C473" s="27" t="str">
        <v/>
      </c>
      <c r="D473" s="27" t="str">
        <v/>
      </c>
    </row>
    <row r="474" spans="2:4" x14ac:dyDescent="0.25">
      <c r="B474" s="27" t="str">
        <v/>
      </c>
      <c r="C474" s="27" t="str">
        <v/>
      </c>
      <c r="D474" s="27" t="str">
        <v/>
      </c>
    </row>
    <row r="475" spans="2:4" x14ac:dyDescent="0.25">
      <c r="B475" s="27" t="str">
        <v/>
      </c>
      <c r="C475" s="27" t="str">
        <v/>
      </c>
      <c r="D475" s="27" t="str">
        <v/>
      </c>
    </row>
    <row r="476" spans="2:4" x14ac:dyDescent="0.25">
      <c r="B476" s="27" t="str">
        <v/>
      </c>
      <c r="C476" s="27" t="str">
        <v/>
      </c>
      <c r="D476" s="27" t="str">
        <v/>
      </c>
    </row>
    <row r="477" spans="2:4" x14ac:dyDescent="0.25">
      <c r="B477" s="27" t="str">
        <v/>
      </c>
      <c r="C477" s="27" t="str">
        <v/>
      </c>
      <c r="D477" s="27" t="str">
        <v/>
      </c>
    </row>
    <row r="478" spans="2:4" x14ac:dyDescent="0.25">
      <c r="B478" s="27" t="str">
        <v/>
      </c>
      <c r="C478" s="27" t="str">
        <v/>
      </c>
      <c r="D478" s="27" t="str">
        <v/>
      </c>
    </row>
    <row r="479" spans="2:4" x14ac:dyDescent="0.25">
      <c r="B479" s="27" t="str">
        <v/>
      </c>
      <c r="C479" s="27" t="str">
        <v/>
      </c>
      <c r="D479" s="27" t="str">
        <v/>
      </c>
    </row>
    <row r="480" spans="2:4" x14ac:dyDescent="0.25">
      <c r="B480" s="27" t="str">
        <v/>
      </c>
      <c r="C480" s="27" t="str">
        <v/>
      </c>
      <c r="D480" s="27" t="str">
        <v/>
      </c>
    </row>
    <row r="481" spans="2:4" x14ac:dyDescent="0.25">
      <c r="B481" s="27" t="str">
        <v/>
      </c>
      <c r="C481" s="27" t="str">
        <v/>
      </c>
      <c r="D481" s="27" t="str">
        <v/>
      </c>
    </row>
    <row r="482" spans="2:4" x14ac:dyDescent="0.25">
      <c r="B482" s="27" t="str">
        <v/>
      </c>
      <c r="C482" s="27" t="str">
        <v/>
      </c>
      <c r="D482" s="27" t="str">
        <v/>
      </c>
    </row>
    <row r="483" spans="2:4" x14ac:dyDescent="0.25">
      <c r="B483" s="27" t="str">
        <v/>
      </c>
      <c r="C483" s="27" t="str">
        <v/>
      </c>
      <c r="D483" s="27" t="str">
        <v/>
      </c>
    </row>
    <row r="484" spans="2:4" x14ac:dyDescent="0.25">
      <c r="B484" s="27" t="str">
        <v/>
      </c>
      <c r="C484" s="27" t="str">
        <v/>
      </c>
      <c r="D484" s="27" t="str">
        <v/>
      </c>
    </row>
    <row r="485" spans="2:4" x14ac:dyDescent="0.25">
      <c r="B485" s="27" t="str">
        <v/>
      </c>
      <c r="C485" s="27" t="str">
        <v/>
      </c>
      <c r="D485" s="27" t="str">
        <v/>
      </c>
    </row>
    <row r="486" spans="2:4" x14ac:dyDescent="0.25">
      <c r="B486" s="27" t="str">
        <v/>
      </c>
      <c r="C486" s="27" t="str">
        <v/>
      </c>
      <c r="D486" s="27" t="str">
        <v/>
      </c>
    </row>
    <row r="487" spans="2:4" x14ac:dyDescent="0.25">
      <c r="B487" s="27" t="str">
        <v/>
      </c>
      <c r="C487" s="27" t="str">
        <v/>
      </c>
      <c r="D487" s="27" t="str">
        <v/>
      </c>
    </row>
    <row r="488" spans="2:4" x14ac:dyDescent="0.25">
      <c r="B488" s="27" t="str">
        <v/>
      </c>
      <c r="C488" s="27" t="str">
        <v/>
      </c>
      <c r="D488" s="27" t="str">
        <v/>
      </c>
    </row>
    <row r="489" spans="2:4" x14ac:dyDescent="0.25">
      <c r="B489" s="27" t="str">
        <v/>
      </c>
      <c r="C489" s="27" t="str">
        <v/>
      </c>
      <c r="D489" s="27" t="str">
        <v/>
      </c>
    </row>
    <row r="490" spans="2:4" x14ac:dyDescent="0.25">
      <c r="B490" s="27" t="str">
        <v/>
      </c>
      <c r="C490" s="27" t="str">
        <v/>
      </c>
      <c r="D490" s="27" t="str">
        <v/>
      </c>
    </row>
    <row r="491" spans="2:4" x14ac:dyDescent="0.25">
      <c r="B491" s="27" t="str">
        <v/>
      </c>
      <c r="C491" s="27" t="str">
        <v/>
      </c>
      <c r="D491" s="27" t="str">
        <v/>
      </c>
    </row>
    <row r="492" spans="2:4" x14ac:dyDescent="0.25">
      <c r="B492" s="27" t="str">
        <v/>
      </c>
      <c r="C492" s="27" t="str">
        <v/>
      </c>
      <c r="D492" s="27" t="str">
        <v/>
      </c>
    </row>
    <row r="493" spans="2:4" x14ac:dyDescent="0.25">
      <c r="B493" s="27" t="str">
        <v/>
      </c>
      <c r="C493" s="27" t="str">
        <v/>
      </c>
      <c r="D493" s="27" t="str">
        <v/>
      </c>
    </row>
    <row r="494" spans="2:4" x14ac:dyDescent="0.25">
      <c r="B494" s="27" t="str">
        <v/>
      </c>
      <c r="C494" s="27" t="str">
        <v/>
      </c>
      <c r="D494" s="27" t="str">
        <v/>
      </c>
    </row>
    <row r="495" spans="2:4" x14ac:dyDescent="0.25">
      <c r="B495" s="27" t="str">
        <v/>
      </c>
      <c r="C495" s="27" t="str">
        <v/>
      </c>
      <c r="D495" s="27" t="str">
        <v/>
      </c>
    </row>
    <row r="496" spans="2:4" x14ac:dyDescent="0.25">
      <c r="B496" s="27" t="str">
        <v/>
      </c>
      <c r="C496" s="27" t="str">
        <v/>
      </c>
      <c r="D496" s="27" t="str">
        <v/>
      </c>
    </row>
    <row r="497" spans="2:4" x14ac:dyDescent="0.25">
      <c r="B497" s="27" t="str">
        <v/>
      </c>
      <c r="C497" s="27" t="str">
        <v/>
      </c>
      <c r="D497" s="27" t="str">
        <v/>
      </c>
    </row>
    <row r="498" spans="2:4" x14ac:dyDescent="0.25">
      <c r="B498" s="27" t="str">
        <v/>
      </c>
      <c r="C498" s="27" t="str">
        <v/>
      </c>
      <c r="D498" s="27" t="str">
        <v/>
      </c>
    </row>
    <row r="499" spans="2:4" x14ac:dyDescent="0.25">
      <c r="B499" s="27" t="str">
        <v/>
      </c>
      <c r="C499" s="27" t="str">
        <v/>
      </c>
      <c r="D499" s="27" t="str">
        <v/>
      </c>
    </row>
    <row r="500" spans="2:4" x14ac:dyDescent="0.25">
      <c r="B500" s="27" t="str">
        <v/>
      </c>
      <c r="C500" s="27" t="str">
        <v/>
      </c>
      <c r="D500" s="27" t="str"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16DE8-9762-4DB3-A33A-55D6A3B83B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READ ME</vt:lpstr>
      <vt:lpstr>Statement Editor</vt:lpstr>
      <vt:lpstr>PDF Parser Output</vt:lpstr>
      <vt:lpstr>Output</vt:lpstr>
      <vt:lpstr>DB</vt:lpstr>
      <vt:lpstr>Duplicate logic</vt:lpstr>
      <vt:lpstr>DatabaseName</vt:lpstr>
      <vt:lpstr>DockerHost</vt:lpstr>
      <vt:lpstr>DockerPort</vt:lpstr>
      <vt:lpstr>PDFPath</vt:lpstr>
      <vt:lpstr>PERIOD_END_BALANCE</vt:lpstr>
      <vt:lpstr>PERIOD_END_DATE</vt:lpstr>
      <vt:lpstr>PERIOD_START_BALANCE</vt:lpstr>
      <vt:lpstr>PERIOD_START_DATE</vt:lpstr>
      <vt:lpstr>SELECTED_ACCOUNT</vt:lpstr>
      <vt:lpstr>STATEMENT_DATE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Harris</dc:creator>
  <cp:lastModifiedBy>Noah Harris</cp:lastModifiedBy>
  <dcterms:created xsi:type="dcterms:W3CDTF">2026-02-25T12:57:27Z</dcterms:created>
  <dcterms:modified xsi:type="dcterms:W3CDTF">2026-06-14T13:37:22Z</dcterms:modified>
</cp:coreProperties>
</file>