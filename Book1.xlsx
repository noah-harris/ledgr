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7bcd4666b82059/Desktop/"/>
    </mc:Choice>
  </mc:AlternateContent>
  <xr:revisionPtr revIDLastSave="1" documentId="8_{8D1F9F49-3301-4459-9112-971785969AD4}" xr6:coauthVersionLast="47" xr6:coauthVersionMax="47" xr10:uidLastSave="{C96D4C79-E9B1-45AE-8EE4-9DB61E1ABDCA}"/>
  <bookViews>
    <workbookView xWindow="8145" yWindow="4455" windowWidth="38595" windowHeight="15345" xr2:uid="{3D9BE1D1-154E-4B47-8468-CE31A06D2ECF}"/>
  </bookViews>
  <sheets>
    <sheet name="Sheet1" sheetId="1" r:id="rId1"/>
  </sheets>
  <calcPr calcId="191029"/>
  <pivotCaches>
    <pivotCache cacheId="2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C845A2-7CF6-4639-A33A-C14F6BFEDFF2}" keepAlive="1" name="Query - Spending" description="Connection to the 'Spending' query in the workbook." type="5" refreshedVersion="8" background="1">
    <dbPr connection="Provider=Microsoft.Mashup.OleDb.1;Data Source=$Workbook$;Location=Spending;Extended Properties=&quot;&quot;" command="SELECT * FROM [Spending]"/>
  </connection>
</connections>
</file>

<file path=xl/sharedStrings.xml><?xml version="1.0" encoding="utf-8"?>
<sst xmlns="http://schemas.openxmlformats.org/spreadsheetml/2006/main" count="29" uniqueCount="29">
  <si>
    <t>DINING</t>
  </si>
  <si>
    <t>ENTERTAINMENT</t>
  </si>
  <si>
    <t>GROCERIES</t>
  </si>
  <si>
    <t>HOUSING</t>
  </si>
  <si>
    <t>MEDICAL</t>
  </si>
  <si>
    <t>PAYCHECK</t>
  </si>
  <si>
    <t>PERSONAL</t>
  </si>
  <si>
    <t>TECH</t>
  </si>
  <si>
    <t>TRANSPORT</t>
  </si>
  <si>
    <t>UNCATEGORIZED</t>
  </si>
  <si>
    <t>SUMMARY</t>
  </si>
  <si>
    <t>UTILITY</t>
  </si>
  <si>
    <t>OTHER</t>
  </si>
  <si>
    <t>Row Labels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</si>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</sst>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Harris" refreshedDate="46168.601631712962" backgroundQuery="1" createdVersion="8" refreshedVersion="8" minRefreshableVersion="3" recordCount="155" xr:uid="{BFD4D884-CE0E-49ED-BF62-7D0A6C518F19}">
  <cacheSource type="external" connectionId="1"/>
  <cacheFields count="4">
    <cacheField name="CalendarYear" numFmtId="0">
      <sharedItems containsSemiMixedTypes="0" containsString="0" containsNumber="1" containsInteger="1" minValue="2024" maxValue="2026" count="3">
        <n v="2025"/>
        <n v="2024" u="1"/>
        <n v="2026" u="1"/>
      </sharedItems>
    </cacheField>
    <cacheField name="MonthName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Segment" numFmtId="0">
      <sharedItems count="14">
        <s v="DINING"/>
        <s v="ENTERTAINMENT"/>
        <s v="GROCERIES"/>
        <s v="HOUSING"/>
        <s v="MEDICAL"/>
        <s v="OTHER"/>
        <s v="PAYCHECK"/>
        <s v="PERSONAL"/>
        <s v="SUMMARY"/>
        <s v="TECH"/>
        <s v="TRANSPORT"/>
        <s v="UNCATEGORIZED"/>
        <s v="UTILITY"/>
        <s v="INSURANCE" u="1"/>
      </sharedItems>
    </cacheField>
    <cacheField name="Amount" numFmtId="0">
      <sharedItems containsSemiMixedTypes="0" containsString="0" containsNumber="1" minValue="-13955.62" maxValue="5345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n v="423.29"/>
  </r>
  <r>
    <x v="0"/>
    <x v="0"/>
    <x v="1"/>
    <n v="388.01"/>
  </r>
  <r>
    <x v="0"/>
    <x v="0"/>
    <x v="2"/>
    <n v="281.32"/>
  </r>
  <r>
    <x v="0"/>
    <x v="0"/>
    <x v="3"/>
    <n v="962.36"/>
  </r>
  <r>
    <x v="0"/>
    <x v="0"/>
    <x v="4"/>
    <n v="694.42"/>
  </r>
  <r>
    <x v="0"/>
    <x v="0"/>
    <x v="5"/>
    <n v="33.11"/>
  </r>
  <r>
    <x v="0"/>
    <x v="0"/>
    <x v="6"/>
    <n v="-9520.57"/>
  </r>
  <r>
    <x v="0"/>
    <x v="0"/>
    <x v="7"/>
    <n v="6.28"/>
  </r>
  <r>
    <x v="0"/>
    <x v="0"/>
    <x v="8"/>
    <n v="-49.53"/>
  </r>
  <r>
    <x v="0"/>
    <x v="0"/>
    <x v="9"/>
    <n v="111.49"/>
  </r>
  <r>
    <x v="0"/>
    <x v="0"/>
    <x v="10"/>
    <n v="443.22"/>
  </r>
  <r>
    <x v="0"/>
    <x v="0"/>
    <x v="11"/>
    <n v="915.06"/>
  </r>
  <r>
    <x v="0"/>
    <x v="0"/>
    <x v="12"/>
    <n v="226"/>
  </r>
  <r>
    <x v="0"/>
    <x v="1"/>
    <x v="0"/>
    <n v="400.22"/>
  </r>
  <r>
    <x v="0"/>
    <x v="1"/>
    <x v="1"/>
    <n v="170.25"/>
  </r>
  <r>
    <x v="0"/>
    <x v="1"/>
    <x v="2"/>
    <n v="155.47999999999999"/>
  </r>
  <r>
    <x v="0"/>
    <x v="1"/>
    <x v="3"/>
    <n v="1673.09"/>
  </r>
  <r>
    <x v="0"/>
    <x v="1"/>
    <x v="4"/>
    <n v="103.96"/>
  </r>
  <r>
    <x v="0"/>
    <x v="1"/>
    <x v="5"/>
    <n v="33.11"/>
  </r>
  <r>
    <x v="0"/>
    <x v="1"/>
    <x v="6"/>
    <n v="-7581.53"/>
  </r>
  <r>
    <x v="0"/>
    <x v="1"/>
    <x v="7"/>
    <n v="99.78"/>
  </r>
  <r>
    <x v="0"/>
    <x v="1"/>
    <x v="8"/>
    <n v="-430.2"/>
  </r>
  <r>
    <x v="0"/>
    <x v="1"/>
    <x v="9"/>
    <n v="90.89"/>
  </r>
  <r>
    <x v="0"/>
    <x v="1"/>
    <x v="10"/>
    <n v="418.26"/>
  </r>
  <r>
    <x v="0"/>
    <x v="1"/>
    <x v="11"/>
    <n v="1148.98"/>
  </r>
  <r>
    <x v="0"/>
    <x v="1"/>
    <x v="12"/>
    <n v="258.31"/>
  </r>
  <r>
    <x v="0"/>
    <x v="2"/>
    <x v="0"/>
    <n v="456.97"/>
  </r>
  <r>
    <x v="0"/>
    <x v="2"/>
    <x v="1"/>
    <n v="288.14999999999998"/>
  </r>
  <r>
    <x v="0"/>
    <x v="2"/>
    <x v="2"/>
    <n v="151.29"/>
  </r>
  <r>
    <x v="0"/>
    <x v="2"/>
    <x v="3"/>
    <n v="1656.23"/>
  </r>
  <r>
    <x v="0"/>
    <x v="2"/>
    <x v="4"/>
    <n v="37.94"/>
  </r>
  <r>
    <x v="0"/>
    <x v="2"/>
    <x v="5"/>
    <n v="94.88"/>
  </r>
  <r>
    <x v="0"/>
    <x v="2"/>
    <x v="6"/>
    <n v="-7836.16"/>
  </r>
  <r>
    <x v="0"/>
    <x v="2"/>
    <x v="7"/>
    <n v="331.41"/>
  </r>
  <r>
    <x v="0"/>
    <x v="2"/>
    <x v="8"/>
    <n v="-91.01"/>
  </r>
  <r>
    <x v="0"/>
    <x v="2"/>
    <x v="9"/>
    <n v="163.65"/>
  </r>
  <r>
    <x v="0"/>
    <x v="2"/>
    <x v="10"/>
    <n v="376.67"/>
  </r>
  <r>
    <x v="0"/>
    <x v="2"/>
    <x v="11"/>
    <n v="5345.41"/>
  </r>
  <r>
    <x v="0"/>
    <x v="2"/>
    <x v="12"/>
    <n v="202.29"/>
  </r>
  <r>
    <x v="0"/>
    <x v="3"/>
    <x v="0"/>
    <n v="192.43"/>
  </r>
  <r>
    <x v="0"/>
    <x v="3"/>
    <x v="1"/>
    <n v="5.35"/>
  </r>
  <r>
    <x v="0"/>
    <x v="3"/>
    <x v="2"/>
    <n v="218.65"/>
  </r>
  <r>
    <x v="0"/>
    <x v="3"/>
    <x v="3"/>
    <n v="485.63"/>
  </r>
  <r>
    <x v="0"/>
    <x v="3"/>
    <x v="4"/>
    <n v="205.56"/>
  </r>
  <r>
    <x v="0"/>
    <x v="3"/>
    <x v="5"/>
    <n v="33.11"/>
  </r>
  <r>
    <x v="0"/>
    <x v="3"/>
    <x v="6"/>
    <n v="-7832.68"/>
  </r>
  <r>
    <x v="0"/>
    <x v="3"/>
    <x v="7"/>
    <n v="212.42"/>
  </r>
  <r>
    <x v="0"/>
    <x v="3"/>
    <x v="8"/>
    <n v="-190.74"/>
  </r>
  <r>
    <x v="0"/>
    <x v="3"/>
    <x v="9"/>
    <n v="138.28"/>
  </r>
  <r>
    <x v="0"/>
    <x v="3"/>
    <x v="10"/>
    <n v="2097.4699999999998"/>
  </r>
  <r>
    <x v="0"/>
    <x v="3"/>
    <x v="11"/>
    <n v="2517.6799999999998"/>
  </r>
  <r>
    <x v="0"/>
    <x v="3"/>
    <x v="12"/>
    <n v="70"/>
  </r>
  <r>
    <x v="0"/>
    <x v="4"/>
    <x v="0"/>
    <n v="430.25"/>
  </r>
  <r>
    <x v="0"/>
    <x v="4"/>
    <x v="1"/>
    <n v="5.35"/>
  </r>
  <r>
    <x v="0"/>
    <x v="4"/>
    <x v="2"/>
    <n v="143.62"/>
  </r>
  <r>
    <x v="0"/>
    <x v="4"/>
    <x v="3"/>
    <n v="2227.23"/>
  </r>
  <r>
    <x v="0"/>
    <x v="4"/>
    <x v="4"/>
    <n v="352.07"/>
  </r>
  <r>
    <x v="0"/>
    <x v="4"/>
    <x v="5"/>
    <n v="17"/>
  </r>
  <r>
    <x v="0"/>
    <x v="4"/>
    <x v="6"/>
    <n v="-7845.35"/>
  </r>
  <r>
    <x v="0"/>
    <x v="4"/>
    <x v="7"/>
    <n v="-203.2"/>
  </r>
  <r>
    <x v="0"/>
    <x v="4"/>
    <x v="8"/>
    <n v="-252.79"/>
  </r>
  <r>
    <x v="0"/>
    <x v="4"/>
    <x v="9"/>
    <n v="68.09"/>
  </r>
  <r>
    <x v="0"/>
    <x v="4"/>
    <x v="10"/>
    <n v="768.1"/>
  </r>
  <r>
    <x v="0"/>
    <x v="4"/>
    <x v="11"/>
    <n v="2381.4899999999998"/>
  </r>
  <r>
    <x v="0"/>
    <x v="5"/>
    <x v="0"/>
    <n v="642.05999999999995"/>
  </r>
  <r>
    <x v="0"/>
    <x v="5"/>
    <x v="1"/>
    <n v="122.96"/>
  </r>
  <r>
    <x v="0"/>
    <x v="5"/>
    <x v="2"/>
    <n v="92.68"/>
  </r>
  <r>
    <x v="0"/>
    <x v="5"/>
    <x v="3"/>
    <n v="1830.78"/>
  </r>
  <r>
    <x v="0"/>
    <x v="5"/>
    <x v="4"/>
    <n v="86.19"/>
  </r>
  <r>
    <x v="0"/>
    <x v="5"/>
    <x v="5"/>
    <n v="49.22"/>
  </r>
  <r>
    <x v="0"/>
    <x v="5"/>
    <x v="6"/>
    <n v="-9835.86"/>
  </r>
  <r>
    <x v="0"/>
    <x v="5"/>
    <x v="7"/>
    <n v="81.69"/>
  </r>
  <r>
    <x v="0"/>
    <x v="5"/>
    <x v="8"/>
    <n v="-55.56"/>
  </r>
  <r>
    <x v="0"/>
    <x v="5"/>
    <x v="9"/>
    <n v="89.14"/>
  </r>
  <r>
    <x v="0"/>
    <x v="5"/>
    <x v="10"/>
    <n v="806.86"/>
  </r>
  <r>
    <x v="0"/>
    <x v="5"/>
    <x v="11"/>
    <n v="3338.04"/>
  </r>
  <r>
    <x v="0"/>
    <x v="5"/>
    <x v="12"/>
    <n v="257.95"/>
  </r>
  <r>
    <x v="0"/>
    <x v="6"/>
    <x v="0"/>
    <n v="887.69"/>
  </r>
  <r>
    <x v="0"/>
    <x v="6"/>
    <x v="1"/>
    <n v="521.85"/>
  </r>
  <r>
    <x v="0"/>
    <x v="6"/>
    <x v="2"/>
    <n v="152.02000000000001"/>
  </r>
  <r>
    <x v="0"/>
    <x v="6"/>
    <x v="3"/>
    <n v="1748.29"/>
  </r>
  <r>
    <x v="0"/>
    <x v="6"/>
    <x v="4"/>
    <n v="175"/>
  </r>
  <r>
    <x v="0"/>
    <x v="6"/>
    <x v="5"/>
    <n v="2683.11"/>
  </r>
  <r>
    <x v="0"/>
    <x v="6"/>
    <x v="6"/>
    <n v="-7552.64"/>
  </r>
  <r>
    <x v="0"/>
    <x v="6"/>
    <x v="7"/>
    <n v="21.99"/>
  </r>
  <r>
    <x v="0"/>
    <x v="6"/>
    <x v="8"/>
    <n v="129.16"/>
  </r>
  <r>
    <x v="0"/>
    <x v="6"/>
    <x v="9"/>
    <n v="54.2"/>
  </r>
  <r>
    <x v="0"/>
    <x v="6"/>
    <x v="10"/>
    <n v="1162.99"/>
  </r>
  <r>
    <x v="0"/>
    <x v="6"/>
    <x v="11"/>
    <n v="751.59"/>
  </r>
  <r>
    <x v="0"/>
    <x v="6"/>
    <x v="12"/>
    <n v="198.71"/>
  </r>
  <r>
    <x v="0"/>
    <x v="7"/>
    <x v="0"/>
    <n v="332.18"/>
  </r>
  <r>
    <x v="0"/>
    <x v="7"/>
    <x v="1"/>
    <n v="432.37"/>
  </r>
  <r>
    <x v="0"/>
    <x v="7"/>
    <x v="2"/>
    <n v="192.12"/>
  </r>
  <r>
    <x v="0"/>
    <x v="7"/>
    <x v="3"/>
    <n v="581.72"/>
  </r>
  <r>
    <x v="0"/>
    <x v="7"/>
    <x v="4"/>
    <n v="234.18"/>
  </r>
  <r>
    <x v="0"/>
    <x v="7"/>
    <x v="5"/>
    <n v="33.11"/>
  </r>
  <r>
    <x v="0"/>
    <x v="7"/>
    <x v="6"/>
    <n v="-7761.86"/>
  </r>
  <r>
    <x v="0"/>
    <x v="7"/>
    <x v="7"/>
    <n v="1.98"/>
  </r>
  <r>
    <x v="0"/>
    <x v="7"/>
    <x v="8"/>
    <n v="-98.41"/>
  </r>
  <r>
    <x v="0"/>
    <x v="7"/>
    <x v="9"/>
    <n v="58.47"/>
  </r>
  <r>
    <x v="0"/>
    <x v="7"/>
    <x v="10"/>
    <n v="1451.58"/>
  </r>
  <r>
    <x v="0"/>
    <x v="7"/>
    <x v="11"/>
    <n v="832.88"/>
  </r>
  <r>
    <x v="0"/>
    <x v="7"/>
    <x v="12"/>
    <n v="263.38"/>
  </r>
  <r>
    <x v="0"/>
    <x v="8"/>
    <x v="0"/>
    <n v="498.44"/>
  </r>
  <r>
    <x v="0"/>
    <x v="8"/>
    <x v="1"/>
    <n v="67.2"/>
  </r>
  <r>
    <x v="0"/>
    <x v="8"/>
    <x v="2"/>
    <n v="193.86"/>
  </r>
  <r>
    <x v="0"/>
    <x v="8"/>
    <x v="3"/>
    <n v="1821.45"/>
  </r>
  <r>
    <x v="0"/>
    <x v="8"/>
    <x v="4"/>
    <n v="1078.06"/>
  </r>
  <r>
    <x v="0"/>
    <x v="8"/>
    <x v="5"/>
    <n v="33.11"/>
  </r>
  <r>
    <x v="0"/>
    <x v="8"/>
    <x v="6"/>
    <n v="-13955.62"/>
  </r>
  <r>
    <x v="0"/>
    <x v="8"/>
    <x v="7"/>
    <n v="17.100000000000001"/>
  </r>
  <r>
    <x v="0"/>
    <x v="8"/>
    <x v="8"/>
    <n v="44.48"/>
  </r>
  <r>
    <x v="0"/>
    <x v="8"/>
    <x v="9"/>
    <n v="89.87"/>
  </r>
  <r>
    <x v="0"/>
    <x v="8"/>
    <x v="10"/>
    <n v="624.14"/>
  </r>
  <r>
    <x v="0"/>
    <x v="8"/>
    <x v="11"/>
    <n v="2238.06"/>
  </r>
  <r>
    <x v="0"/>
    <x v="8"/>
    <x v="12"/>
    <n v="207.31"/>
  </r>
  <r>
    <x v="0"/>
    <x v="9"/>
    <x v="0"/>
    <n v="496.86"/>
  </r>
  <r>
    <x v="0"/>
    <x v="9"/>
    <x v="1"/>
    <n v="292.49"/>
  </r>
  <r>
    <x v="0"/>
    <x v="9"/>
    <x v="2"/>
    <n v="196.58"/>
  </r>
  <r>
    <x v="0"/>
    <x v="9"/>
    <x v="3"/>
    <n v="1791.93"/>
  </r>
  <r>
    <x v="0"/>
    <x v="9"/>
    <x v="4"/>
    <n v="125.63"/>
  </r>
  <r>
    <x v="0"/>
    <x v="9"/>
    <x v="5"/>
    <n v="143.46"/>
  </r>
  <r>
    <x v="0"/>
    <x v="9"/>
    <x v="6"/>
    <n v="-10264.57"/>
  </r>
  <r>
    <x v="0"/>
    <x v="9"/>
    <x v="7"/>
    <n v="283.23"/>
  </r>
  <r>
    <x v="0"/>
    <x v="9"/>
    <x v="8"/>
    <n v="-241.89"/>
  </r>
  <r>
    <x v="0"/>
    <x v="9"/>
    <x v="9"/>
    <n v="58.44"/>
  </r>
  <r>
    <x v="0"/>
    <x v="9"/>
    <x v="10"/>
    <n v="570.02"/>
  </r>
  <r>
    <x v="0"/>
    <x v="9"/>
    <x v="11"/>
    <n v="2379.85"/>
  </r>
  <r>
    <x v="0"/>
    <x v="9"/>
    <x v="12"/>
    <n v="210.71"/>
  </r>
  <r>
    <x v="0"/>
    <x v="10"/>
    <x v="0"/>
    <n v="828.03"/>
  </r>
  <r>
    <x v="0"/>
    <x v="10"/>
    <x v="1"/>
    <n v="127.42"/>
  </r>
  <r>
    <x v="0"/>
    <x v="10"/>
    <x v="2"/>
    <n v="36.51"/>
  </r>
  <r>
    <x v="0"/>
    <x v="10"/>
    <x v="3"/>
    <n v="1632.11"/>
  </r>
  <r>
    <x v="0"/>
    <x v="10"/>
    <x v="4"/>
    <n v="17.86"/>
  </r>
  <r>
    <x v="0"/>
    <x v="10"/>
    <x v="5"/>
    <n v="33.96"/>
  </r>
  <r>
    <x v="0"/>
    <x v="10"/>
    <x v="6"/>
    <n v="-9852.83"/>
  </r>
  <r>
    <x v="0"/>
    <x v="10"/>
    <x v="7"/>
    <n v="377.67"/>
  </r>
  <r>
    <x v="0"/>
    <x v="10"/>
    <x v="8"/>
    <n v="-121.45"/>
  </r>
  <r>
    <x v="0"/>
    <x v="10"/>
    <x v="9"/>
    <n v="229.91"/>
  </r>
  <r>
    <x v="0"/>
    <x v="10"/>
    <x v="10"/>
    <n v="303.51"/>
  </r>
  <r>
    <x v="0"/>
    <x v="10"/>
    <x v="11"/>
    <n v="2429.09"/>
  </r>
  <r>
    <x v="0"/>
    <x v="10"/>
    <x v="12"/>
    <n v="230.33"/>
  </r>
  <r>
    <x v="0"/>
    <x v="11"/>
    <x v="0"/>
    <n v="634.89"/>
  </r>
  <r>
    <x v="0"/>
    <x v="11"/>
    <x v="1"/>
    <n v="123.51"/>
  </r>
  <r>
    <x v="0"/>
    <x v="11"/>
    <x v="2"/>
    <n v="281.5"/>
  </r>
  <r>
    <x v="0"/>
    <x v="11"/>
    <x v="3"/>
    <n v="1640.41"/>
  </r>
  <r>
    <x v="0"/>
    <x v="11"/>
    <x v="4"/>
    <n v="137.76"/>
  </r>
  <r>
    <x v="0"/>
    <x v="11"/>
    <x v="5"/>
    <n v="49.22"/>
  </r>
  <r>
    <x v="0"/>
    <x v="11"/>
    <x v="6"/>
    <n v="-7641.85"/>
  </r>
  <r>
    <x v="0"/>
    <x v="11"/>
    <x v="7"/>
    <n v="240.2"/>
  </r>
  <r>
    <x v="0"/>
    <x v="11"/>
    <x v="8"/>
    <n v="91.01"/>
  </r>
  <r>
    <x v="0"/>
    <x v="11"/>
    <x v="9"/>
    <n v="68.39"/>
  </r>
  <r>
    <x v="0"/>
    <x v="11"/>
    <x v="10"/>
    <n v="314.19"/>
  </r>
  <r>
    <x v="0"/>
    <x v="11"/>
    <x v="11"/>
    <n v="1520.87"/>
  </r>
  <r>
    <x v="0"/>
    <x v="11"/>
    <x v="12"/>
    <n v="237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E45C0-85C5-413A-A99F-0E7C2F1B560F}" name="PivotTable4" cacheId="2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:M17" firstHeaderRow="1" firstDataRow="3" firstDataCol="1"/>
  <pivotFields count="4">
    <pivotField axis="axisCol" showAll="0" defaultSubtotal="0">
      <items count="3">
        <item m="1" x="1"/>
        <item x="0"/>
        <item m="1" x="2"/>
      </items>
    </pivotField>
    <pivotField axis="axisCol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Row" showAll="0" sortType="ascending">
      <items count="15">
        <item x="0"/>
        <item x="1"/>
        <item x="2"/>
        <item x="3"/>
        <item m="1" x="1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2"/>
  </rowFields>
  <rowItems count="1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0"/>
    <field x="1"/>
  </colFields>
  <colItems count="1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colItems>
  <dataFields count="1">
    <dataField name="Sum of Amount" fld="3" baseField="0" baseItem="0"/>
  </dataFields>
  <formats count="8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type="topRight" dataOnly="0" labelOnly="1" outline="0" fieldPosition="0"/>
    </format>
    <format dxfId="114">
      <pivotArea field="2" type="button" dataOnly="0" labelOnly="1" outline="0" axis="axisRow" fieldPosition="0"/>
    </format>
    <format dxfId="113">
      <pivotArea dataOnly="0" labelOnly="1" fieldPosition="0">
        <references count="1">
          <reference field="2" count="0"/>
        </references>
      </pivotArea>
    </format>
    <format dxfId="112">
      <pivotArea dataOnly="0" labelOnly="1" grandRow="1" outline="0" fieldPosition="0"/>
    </format>
    <format dxfId="111">
      <pivotArea dataOnly="0" labelOnly="1" grandCol="1" outline="0" fieldPosition="0"/>
    </format>
  </formats>
  <conditionalFormats count="1">
    <conditionalFormat priority="11">
      <pivotAreas count="1">
        <pivotArea fieldPosition="0">
          <references count="1">
            <reference field="2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7246-7FFA-4F43-AEC6-82719134CCC6}">
  <dimension ref="A1:W183"/>
  <sheetViews>
    <sheetView tabSelected="1" workbookViewId="0">
      <selection activeCell="L12" sqref="L12"/>
    </sheetView>
  </sheetViews>
  <sheetFormatPr defaultRowHeight="15" x14ac:dyDescent="0.25"/>
  <cols>
    <col min="1" max="1" width="16.140625" style="2" bestFit="1" customWidth="1"/>
    <col min="2" max="2" width="18.5703125" style="2" bestFit="1" customWidth="1"/>
    <col min="3" max="3" width="8.85546875" style="2" bestFit="1" customWidth="1"/>
    <col min="4" max="4" width="8.7109375" style="2" bestFit="1" customWidth="1"/>
    <col min="5" max="5" width="8.7109375" style="1" bestFit="1" customWidth="1"/>
    <col min="6" max="6" width="9.7109375" style="1" bestFit="1" customWidth="1"/>
    <col min="7" max="9" width="8.7109375" style="2" bestFit="1" customWidth="1"/>
    <col min="10" max="10" width="10.85546875" style="2" bestFit="1" customWidth="1"/>
    <col min="11" max="11" width="8.7109375" style="1" bestFit="1" customWidth="1"/>
    <col min="12" max="12" width="10.42578125" style="1" bestFit="1" customWidth="1"/>
    <col min="13" max="13" width="10.140625" style="1" bestFit="1" customWidth="1"/>
    <col min="14" max="14" width="10.42578125" style="1" bestFit="1" customWidth="1"/>
    <col min="15" max="15" width="10.140625" style="1" bestFit="1" customWidth="1"/>
    <col min="16" max="16" width="8.7109375" style="1" bestFit="1" customWidth="1"/>
    <col min="17" max="17" width="8.85546875" style="1" bestFit="1" customWidth="1"/>
    <col min="18" max="22" width="8.7109375" style="1" bestFit="1" customWidth="1"/>
    <col min="23" max="23" width="9.85546875" style="1" bestFit="1" customWidth="1"/>
    <col min="24" max="24" width="10" bestFit="1" customWidth="1"/>
    <col min="25" max="25" width="13.140625" bestFit="1" customWidth="1"/>
    <col min="26" max="26" width="12.28515625" bestFit="1" customWidth="1"/>
    <col min="27" max="27" width="8.7109375" bestFit="1" customWidth="1"/>
    <col min="28" max="28" width="15.42578125" bestFit="1" customWidth="1"/>
    <col min="29" max="29" width="12" bestFit="1" customWidth="1"/>
    <col min="30" max="30" width="8" bestFit="1" customWidth="1"/>
    <col min="31" max="31" width="15.140625" bestFit="1" customWidth="1"/>
    <col min="32" max="32" width="11.28515625" bestFit="1" customWidth="1"/>
  </cols>
  <sheetData>
    <row r="1" spans="1:23" x14ac:dyDescent="0.25">
      <c r="A1" s="3" t="s">
        <v>28</v>
      </c>
      <c r="B1" s="3" t="s">
        <v>14</v>
      </c>
      <c r="C1" s="1"/>
      <c r="D1" s="1"/>
      <c r="G1" s="1"/>
      <c r="H1" s="1"/>
      <c r="I1" s="1"/>
      <c r="J1" s="1"/>
      <c r="N1"/>
      <c r="O1"/>
      <c r="P1"/>
      <c r="Q1"/>
      <c r="R1"/>
      <c r="S1"/>
      <c r="T1"/>
      <c r="U1"/>
      <c r="V1"/>
      <c r="W1"/>
    </row>
    <row r="2" spans="1:23" x14ac:dyDescent="0.25">
      <c r="A2" s="1"/>
      <c r="B2" s="1">
        <v>2025</v>
      </c>
      <c r="C2" s="1"/>
      <c r="D2" s="1"/>
      <c r="G2" s="1"/>
      <c r="H2" s="1"/>
      <c r="I2" s="1"/>
      <c r="J2" s="1"/>
      <c r="N2"/>
      <c r="O2"/>
      <c r="P2"/>
      <c r="Q2"/>
      <c r="R2"/>
      <c r="S2"/>
      <c r="T2"/>
      <c r="U2"/>
      <c r="V2"/>
      <c r="W2"/>
    </row>
    <row r="3" spans="1:23" x14ac:dyDescent="0.25">
      <c r="A3" s="3" t="s">
        <v>13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/>
      <c r="O3"/>
      <c r="P3"/>
      <c r="Q3"/>
      <c r="R3"/>
      <c r="S3"/>
      <c r="T3"/>
      <c r="U3"/>
      <c r="V3"/>
      <c r="W3"/>
    </row>
    <row r="4" spans="1:23" x14ac:dyDescent="0.25">
      <c r="A4" s="1" t="s">
        <v>0</v>
      </c>
      <c r="B4" s="4">
        <v>430.25</v>
      </c>
      <c r="C4" s="4">
        <v>192.43</v>
      </c>
      <c r="D4" s="4">
        <v>332.18</v>
      </c>
      <c r="E4" s="4">
        <v>423.29</v>
      </c>
      <c r="F4" s="4">
        <v>498.44</v>
      </c>
      <c r="G4" s="4">
        <v>887.69</v>
      </c>
      <c r="H4" s="4">
        <v>642.05999999999995</v>
      </c>
      <c r="I4" s="4">
        <v>400.22</v>
      </c>
      <c r="J4" s="4">
        <v>634.89</v>
      </c>
      <c r="K4" s="4">
        <v>828.03</v>
      </c>
      <c r="L4" s="4">
        <v>496.86</v>
      </c>
      <c r="M4" s="4">
        <v>456.97</v>
      </c>
      <c r="N4"/>
      <c r="O4"/>
      <c r="P4"/>
      <c r="Q4"/>
      <c r="R4"/>
      <c r="S4"/>
      <c r="T4"/>
      <c r="U4"/>
      <c r="V4"/>
      <c r="W4"/>
    </row>
    <row r="5" spans="1:23" x14ac:dyDescent="0.25">
      <c r="A5" s="1" t="s">
        <v>1</v>
      </c>
      <c r="B5" s="4">
        <v>5.35</v>
      </c>
      <c r="C5" s="4">
        <v>5.35</v>
      </c>
      <c r="D5" s="4">
        <v>432.37</v>
      </c>
      <c r="E5" s="4">
        <v>388.01</v>
      </c>
      <c r="F5" s="4">
        <v>67.2</v>
      </c>
      <c r="G5" s="4">
        <v>521.85</v>
      </c>
      <c r="H5" s="4">
        <v>122.96</v>
      </c>
      <c r="I5" s="4">
        <v>170.25</v>
      </c>
      <c r="J5" s="4">
        <v>123.51</v>
      </c>
      <c r="K5" s="4">
        <v>127.42</v>
      </c>
      <c r="L5" s="4">
        <v>292.49</v>
      </c>
      <c r="M5" s="4">
        <v>288.14999999999998</v>
      </c>
      <c r="N5"/>
      <c r="O5"/>
      <c r="P5"/>
      <c r="Q5"/>
      <c r="R5"/>
      <c r="S5"/>
      <c r="T5"/>
      <c r="U5"/>
      <c r="V5"/>
      <c r="W5"/>
    </row>
    <row r="6" spans="1:23" x14ac:dyDescent="0.25">
      <c r="A6" s="1" t="s">
        <v>2</v>
      </c>
      <c r="B6" s="4">
        <v>143.62</v>
      </c>
      <c r="C6" s="4">
        <v>218.65</v>
      </c>
      <c r="D6" s="4">
        <v>192.12</v>
      </c>
      <c r="E6" s="4">
        <v>281.32</v>
      </c>
      <c r="F6" s="4">
        <v>193.86</v>
      </c>
      <c r="G6" s="4">
        <v>152.02000000000001</v>
      </c>
      <c r="H6" s="4">
        <v>92.68</v>
      </c>
      <c r="I6" s="4">
        <v>155.47999999999999</v>
      </c>
      <c r="J6" s="4">
        <v>281.5</v>
      </c>
      <c r="K6" s="4">
        <v>36.51</v>
      </c>
      <c r="L6" s="4">
        <v>196.58</v>
      </c>
      <c r="M6" s="4">
        <v>151.29</v>
      </c>
      <c r="N6"/>
      <c r="O6"/>
      <c r="P6"/>
      <c r="Q6"/>
      <c r="R6"/>
      <c r="S6"/>
      <c r="T6"/>
      <c r="U6"/>
      <c r="V6"/>
      <c r="W6"/>
    </row>
    <row r="7" spans="1:23" x14ac:dyDescent="0.25">
      <c r="A7" s="1" t="s">
        <v>3</v>
      </c>
      <c r="B7" s="4">
        <v>2227.23</v>
      </c>
      <c r="C7" s="4">
        <v>485.63</v>
      </c>
      <c r="D7" s="4">
        <v>581.72</v>
      </c>
      <c r="E7" s="4">
        <v>962.36</v>
      </c>
      <c r="F7" s="4">
        <v>1821.45</v>
      </c>
      <c r="G7" s="4">
        <v>1748.29</v>
      </c>
      <c r="H7" s="4">
        <v>1830.78</v>
      </c>
      <c r="I7" s="4">
        <v>1673.09</v>
      </c>
      <c r="J7" s="4">
        <v>1640.41</v>
      </c>
      <c r="K7" s="4">
        <v>1632.11</v>
      </c>
      <c r="L7" s="4">
        <v>1791.93</v>
      </c>
      <c r="M7" s="4">
        <v>1656.23</v>
      </c>
      <c r="N7"/>
      <c r="O7"/>
      <c r="P7"/>
      <c r="Q7"/>
      <c r="R7"/>
      <c r="S7"/>
      <c r="T7"/>
      <c r="U7"/>
      <c r="V7"/>
      <c r="W7"/>
    </row>
    <row r="8" spans="1:23" x14ac:dyDescent="0.25">
      <c r="A8" s="1" t="s">
        <v>4</v>
      </c>
      <c r="B8" s="4">
        <v>352.07</v>
      </c>
      <c r="C8" s="4">
        <v>205.56</v>
      </c>
      <c r="D8" s="4">
        <v>234.18</v>
      </c>
      <c r="E8" s="4">
        <v>694.42</v>
      </c>
      <c r="F8" s="4">
        <v>1078.06</v>
      </c>
      <c r="G8" s="4">
        <v>175</v>
      </c>
      <c r="H8" s="4">
        <v>86.19</v>
      </c>
      <c r="I8" s="4">
        <v>103.96</v>
      </c>
      <c r="J8" s="4">
        <v>137.76</v>
      </c>
      <c r="K8" s="4">
        <v>17.86</v>
      </c>
      <c r="L8" s="4">
        <v>125.63</v>
      </c>
      <c r="M8" s="4">
        <v>37.94</v>
      </c>
      <c r="N8"/>
      <c r="O8"/>
      <c r="P8"/>
      <c r="Q8"/>
      <c r="R8"/>
      <c r="S8"/>
      <c r="T8"/>
      <c r="U8"/>
      <c r="V8"/>
      <c r="W8"/>
    </row>
    <row r="9" spans="1:23" x14ac:dyDescent="0.25">
      <c r="A9" s="1" t="s">
        <v>12</v>
      </c>
      <c r="B9" s="4">
        <v>17</v>
      </c>
      <c r="C9" s="4">
        <v>33.11</v>
      </c>
      <c r="D9" s="4">
        <v>33.11</v>
      </c>
      <c r="E9" s="4">
        <v>33.11</v>
      </c>
      <c r="F9" s="4">
        <v>33.11</v>
      </c>
      <c r="G9" s="4">
        <v>2683.11</v>
      </c>
      <c r="H9" s="4">
        <v>49.22</v>
      </c>
      <c r="I9" s="4">
        <v>33.11</v>
      </c>
      <c r="J9" s="4">
        <v>49.22</v>
      </c>
      <c r="K9" s="4">
        <v>33.96</v>
      </c>
      <c r="L9" s="4">
        <v>143.46</v>
      </c>
      <c r="M9" s="4">
        <v>94.88</v>
      </c>
      <c r="N9"/>
      <c r="O9"/>
      <c r="P9"/>
      <c r="Q9"/>
      <c r="R9"/>
      <c r="S9"/>
      <c r="T9"/>
      <c r="U9"/>
      <c r="V9"/>
      <c r="W9"/>
    </row>
    <row r="10" spans="1:23" x14ac:dyDescent="0.25">
      <c r="A10" s="1" t="s">
        <v>5</v>
      </c>
      <c r="B10" s="4">
        <v>-7845.35</v>
      </c>
      <c r="C10" s="4">
        <v>-7832.68</v>
      </c>
      <c r="D10" s="4">
        <v>-7761.86</v>
      </c>
      <c r="E10" s="4">
        <v>-9520.57</v>
      </c>
      <c r="F10" s="4">
        <v>-13955.62</v>
      </c>
      <c r="G10" s="4">
        <v>-7552.64</v>
      </c>
      <c r="H10" s="4">
        <v>-9835.86</v>
      </c>
      <c r="I10" s="4">
        <v>-7581.53</v>
      </c>
      <c r="J10" s="4">
        <v>-7641.85</v>
      </c>
      <c r="K10" s="4">
        <v>-9852.83</v>
      </c>
      <c r="L10" s="4">
        <v>-10264.57</v>
      </c>
      <c r="M10" s="4">
        <v>-7836.16</v>
      </c>
      <c r="N10"/>
      <c r="O10"/>
      <c r="P10"/>
      <c r="Q10"/>
      <c r="R10"/>
      <c r="S10"/>
      <c r="T10"/>
      <c r="U10"/>
      <c r="V10"/>
      <c r="W10"/>
    </row>
    <row r="11" spans="1:23" x14ac:dyDescent="0.25">
      <c r="A11" s="1" t="s">
        <v>6</v>
      </c>
      <c r="B11" s="4">
        <v>-203.2</v>
      </c>
      <c r="C11" s="4">
        <v>212.42</v>
      </c>
      <c r="D11" s="4">
        <v>1.98</v>
      </c>
      <c r="E11" s="4">
        <v>6.28</v>
      </c>
      <c r="F11" s="4">
        <v>17.100000000000001</v>
      </c>
      <c r="G11" s="4">
        <v>21.99</v>
      </c>
      <c r="H11" s="4">
        <v>81.69</v>
      </c>
      <c r="I11" s="4">
        <v>99.78</v>
      </c>
      <c r="J11" s="4">
        <v>240.2</v>
      </c>
      <c r="K11" s="4">
        <v>377.67</v>
      </c>
      <c r="L11" s="4">
        <v>283.23</v>
      </c>
      <c r="M11" s="4">
        <v>331.41</v>
      </c>
      <c r="N11"/>
      <c r="O11"/>
      <c r="P11"/>
      <c r="Q11"/>
      <c r="R11"/>
      <c r="S11"/>
      <c r="T11"/>
      <c r="U11"/>
      <c r="V11"/>
      <c r="W11"/>
    </row>
    <row r="12" spans="1:23" x14ac:dyDescent="0.25">
      <c r="A12" s="1" t="s">
        <v>10</v>
      </c>
      <c r="B12" s="4">
        <v>-252.79</v>
      </c>
      <c r="C12" s="4">
        <v>-190.74</v>
      </c>
      <c r="D12" s="4">
        <v>-98.41</v>
      </c>
      <c r="E12" s="4">
        <v>-49.53</v>
      </c>
      <c r="F12" s="4">
        <v>44.48</v>
      </c>
      <c r="G12" s="4">
        <v>129.16</v>
      </c>
      <c r="H12" s="4">
        <v>-55.56</v>
      </c>
      <c r="I12" s="4">
        <v>-430.2</v>
      </c>
      <c r="J12" s="4">
        <v>91.01</v>
      </c>
      <c r="K12" s="4">
        <v>-121.45</v>
      </c>
      <c r="L12" s="4">
        <v>-241.89</v>
      </c>
      <c r="M12" s="4">
        <v>-91.01</v>
      </c>
      <c r="N12"/>
      <c r="O12"/>
      <c r="P12"/>
      <c r="Q12"/>
      <c r="R12"/>
      <c r="S12"/>
      <c r="T12"/>
      <c r="U12"/>
      <c r="V12"/>
      <c r="W12"/>
    </row>
    <row r="13" spans="1:23" x14ac:dyDescent="0.25">
      <c r="A13" s="1" t="s">
        <v>7</v>
      </c>
      <c r="B13" s="4">
        <v>68.09</v>
      </c>
      <c r="C13" s="4">
        <v>138.28</v>
      </c>
      <c r="D13" s="4">
        <v>58.47</v>
      </c>
      <c r="E13" s="4">
        <v>111.49</v>
      </c>
      <c r="F13" s="4">
        <v>89.87</v>
      </c>
      <c r="G13" s="4">
        <v>54.2</v>
      </c>
      <c r="H13" s="4">
        <v>89.14</v>
      </c>
      <c r="I13" s="4">
        <v>90.89</v>
      </c>
      <c r="J13" s="4">
        <v>68.39</v>
      </c>
      <c r="K13" s="4">
        <v>229.91</v>
      </c>
      <c r="L13" s="4">
        <v>58.44</v>
      </c>
      <c r="M13" s="4">
        <v>163.65</v>
      </c>
      <c r="N13"/>
      <c r="O13"/>
      <c r="P13"/>
      <c r="Q13"/>
      <c r="R13"/>
      <c r="S13"/>
      <c r="T13"/>
      <c r="U13"/>
      <c r="V13"/>
      <c r="W13"/>
    </row>
    <row r="14" spans="1:23" x14ac:dyDescent="0.25">
      <c r="A14" s="1" t="s">
        <v>8</v>
      </c>
      <c r="B14" s="4">
        <v>768.1</v>
      </c>
      <c r="C14" s="4">
        <v>2097.4699999999998</v>
      </c>
      <c r="D14" s="4">
        <v>1451.58</v>
      </c>
      <c r="E14" s="4">
        <v>443.22</v>
      </c>
      <c r="F14" s="4">
        <v>624.14</v>
      </c>
      <c r="G14" s="4">
        <v>1162.99</v>
      </c>
      <c r="H14" s="4">
        <v>806.86</v>
      </c>
      <c r="I14" s="4">
        <v>418.26</v>
      </c>
      <c r="J14" s="4">
        <v>314.19</v>
      </c>
      <c r="K14" s="4">
        <v>303.51</v>
      </c>
      <c r="L14" s="4">
        <v>570.02</v>
      </c>
      <c r="M14" s="4">
        <v>376.67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1" t="s">
        <v>9</v>
      </c>
      <c r="B15" s="4">
        <v>2381.4899999999998</v>
      </c>
      <c r="C15" s="4">
        <v>2517.6799999999998</v>
      </c>
      <c r="D15" s="4">
        <v>832.88</v>
      </c>
      <c r="E15" s="4">
        <v>915.06</v>
      </c>
      <c r="F15" s="4">
        <v>2238.06</v>
      </c>
      <c r="G15" s="4">
        <v>751.59</v>
      </c>
      <c r="H15" s="4">
        <v>3338.04</v>
      </c>
      <c r="I15" s="4">
        <v>1148.98</v>
      </c>
      <c r="J15" s="4">
        <v>1520.87</v>
      </c>
      <c r="K15" s="4">
        <v>2429.09</v>
      </c>
      <c r="L15" s="4">
        <v>2379.85</v>
      </c>
      <c r="M15" s="4">
        <v>5345.41</v>
      </c>
      <c r="N15"/>
      <c r="O15"/>
      <c r="P15"/>
      <c r="Q15"/>
      <c r="R15"/>
      <c r="S15"/>
      <c r="T15"/>
      <c r="U15"/>
      <c r="V15"/>
      <c r="W15"/>
    </row>
    <row r="16" spans="1:23" x14ac:dyDescent="0.25">
      <c r="A16" s="1" t="s">
        <v>11</v>
      </c>
      <c r="B16" s="4"/>
      <c r="C16" s="4">
        <v>70</v>
      </c>
      <c r="D16" s="4">
        <v>263.38</v>
      </c>
      <c r="E16" s="4">
        <v>226</v>
      </c>
      <c r="F16" s="4">
        <v>207.31</v>
      </c>
      <c r="G16" s="4">
        <v>198.71</v>
      </c>
      <c r="H16" s="4">
        <v>257.95</v>
      </c>
      <c r="I16" s="4">
        <v>258.31</v>
      </c>
      <c r="J16" s="4">
        <v>237.39</v>
      </c>
      <c r="K16" s="4">
        <v>230.33</v>
      </c>
      <c r="L16" s="4">
        <v>210.71</v>
      </c>
      <c r="M16" s="4">
        <v>202.29</v>
      </c>
      <c r="N16"/>
      <c r="O16"/>
      <c r="P16"/>
      <c r="Q16"/>
      <c r="R16"/>
      <c r="S16"/>
      <c r="T16"/>
      <c r="U16"/>
      <c r="V16"/>
      <c r="W16"/>
    </row>
    <row r="17" spans="1:23" x14ac:dyDescent="0.25">
      <c r="A17" s="1" t="s">
        <v>27</v>
      </c>
      <c r="B17" s="4">
        <v>-1908.1399999999994</v>
      </c>
      <c r="C17" s="4">
        <v>-1846.8400000000006</v>
      </c>
      <c r="D17" s="4">
        <v>-3446.3</v>
      </c>
      <c r="E17" s="4">
        <v>-5085.5399999999991</v>
      </c>
      <c r="F17" s="4">
        <v>-7042.54</v>
      </c>
      <c r="G17" s="4">
        <v>933.95999999999992</v>
      </c>
      <c r="H17" s="4">
        <v>-2493.8500000000022</v>
      </c>
      <c r="I17" s="4">
        <v>-3459.3999999999996</v>
      </c>
      <c r="J17" s="4">
        <v>-2302.5099999999993</v>
      </c>
      <c r="K17" s="4">
        <v>-3727.88</v>
      </c>
      <c r="L17" s="4">
        <v>-3957.2599999999993</v>
      </c>
      <c r="M17" s="4">
        <v>1177.7199999999993</v>
      </c>
      <c r="N17"/>
      <c r="O17"/>
      <c r="P17"/>
      <c r="Q17"/>
      <c r="R17"/>
      <c r="S17"/>
      <c r="T17"/>
      <c r="U17"/>
      <c r="V17"/>
      <c r="W17"/>
    </row>
    <row r="18" spans="1:23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x14ac:dyDescent="0.25">
      <c r="A19" s="1"/>
      <c r="B19" s="1"/>
    </row>
    <row r="21" spans="1:23" x14ac:dyDescent="0.25">
      <c r="A21" s="1"/>
      <c r="B21" s="1"/>
      <c r="C21" s="1"/>
      <c r="D21" s="1"/>
      <c r="G21" s="1"/>
      <c r="H21" s="1"/>
      <c r="I21" s="1"/>
      <c r="J21" s="1"/>
    </row>
    <row r="22" spans="1:23" x14ac:dyDescent="0.25">
      <c r="A22" s="1"/>
      <c r="B22" s="1"/>
      <c r="C22" s="1"/>
      <c r="D22" s="1"/>
      <c r="G22" s="1"/>
      <c r="H22" s="1"/>
      <c r="I22" s="1"/>
      <c r="J22" s="1"/>
    </row>
    <row r="23" spans="1:23" x14ac:dyDescent="0.25">
      <c r="A23" s="1"/>
      <c r="B23" s="1"/>
      <c r="C23" s="1"/>
      <c r="D23" s="1"/>
      <c r="G23" s="1"/>
      <c r="H23" s="1"/>
      <c r="I23" s="1"/>
      <c r="J23" s="1"/>
    </row>
    <row r="24" spans="1:23" x14ac:dyDescent="0.25">
      <c r="A24" s="1"/>
      <c r="B24" s="1"/>
      <c r="C24" s="1"/>
      <c r="D24" s="1"/>
      <c r="G24" s="1"/>
      <c r="H24" s="1"/>
      <c r="I24" s="1"/>
      <c r="J24" s="1"/>
    </row>
    <row r="25" spans="1:23" x14ac:dyDescent="0.25">
      <c r="A25" s="1"/>
      <c r="B25" s="1"/>
      <c r="C25" s="1"/>
      <c r="D25" s="1"/>
      <c r="G25" s="1"/>
      <c r="H25" s="1"/>
      <c r="I25" s="1"/>
      <c r="J25" s="1"/>
    </row>
    <row r="26" spans="1:23" x14ac:dyDescent="0.25">
      <c r="A26" s="1"/>
      <c r="B26" s="1"/>
      <c r="C26" s="1"/>
      <c r="D26" s="1"/>
      <c r="G26" s="1"/>
      <c r="H26" s="1"/>
      <c r="I26" s="1"/>
      <c r="J26" s="1"/>
    </row>
    <row r="27" spans="1:23" x14ac:dyDescent="0.25">
      <c r="A27" s="1"/>
      <c r="B27" s="1"/>
      <c r="C27" s="1"/>
      <c r="D27" s="1"/>
      <c r="G27" s="1"/>
      <c r="H27" s="1"/>
      <c r="I27" s="1"/>
      <c r="J27" s="1"/>
    </row>
    <row r="28" spans="1:23" x14ac:dyDescent="0.25">
      <c r="A28" s="1"/>
      <c r="B28" s="1"/>
      <c r="C28" s="1"/>
      <c r="D28" s="1"/>
      <c r="G28" s="1"/>
      <c r="H28" s="1"/>
      <c r="I28" s="1"/>
      <c r="J28" s="1"/>
    </row>
    <row r="29" spans="1:23" x14ac:dyDescent="0.25">
      <c r="A29" s="1"/>
      <c r="B29" s="1"/>
      <c r="C29" s="1"/>
      <c r="D29" s="1"/>
      <c r="G29" s="1"/>
      <c r="H29" s="1"/>
      <c r="I29" s="1"/>
      <c r="J29" s="1"/>
    </row>
    <row r="30" spans="1:23" x14ac:dyDescent="0.25">
      <c r="A30" s="1"/>
      <c r="B30" s="1"/>
      <c r="C30" s="1"/>
      <c r="D30" s="1"/>
      <c r="G30" s="1"/>
      <c r="H30" s="1"/>
      <c r="I30" s="1"/>
      <c r="J30" s="1"/>
    </row>
    <row r="31" spans="1:23" x14ac:dyDescent="0.25">
      <c r="A31" s="1"/>
      <c r="B31" s="1"/>
      <c r="C31" s="1"/>
      <c r="D31" s="1"/>
      <c r="G31" s="1"/>
      <c r="H31" s="1"/>
      <c r="I31" s="1"/>
      <c r="J31" s="1"/>
    </row>
    <row r="32" spans="1:23" x14ac:dyDescent="0.25">
      <c r="A32" s="1"/>
      <c r="B32" s="1"/>
      <c r="C32" s="1"/>
      <c r="D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</row>
    <row r="40" spans="1:10" x14ac:dyDescent="0.25">
      <c r="A40" s="1"/>
      <c r="B40" s="1"/>
      <c r="C40" s="1"/>
      <c r="D40" s="1"/>
    </row>
    <row r="41" spans="1:10" x14ac:dyDescent="0.25">
      <c r="A41" s="1"/>
      <c r="B41" s="1"/>
      <c r="C41" s="1"/>
      <c r="D41" s="1"/>
    </row>
    <row r="42" spans="1:10" x14ac:dyDescent="0.25">
      <c r="A42" s="1"/>
      <c r="B42" s="1"/>
      <c r="C42" s="1"/>
      <c r="D42" s="1"/>
    </row>
    <row r="43" spans="1:10" x14ac:dyDescent="0.25">
      <c r="A43" s="1"/>
      <c r="B43" s="1"/>
      <c r="C43" s="1"/>
      <c r="D43" s="1"/>
    </row>
    <row r="44" spans="1:10" x14ac:dyDescent="0.25">
      <c r="A44" s="1"/>
      <c r="B44" s="1"/>
      <c r="C44" s="1"/>
      <c r="D44" s="1"/>
    </row>
    <row r="45" spans="1:10" x14ac:dyDescent="0.25">
      <c r="A45" s="1"/>
      <c r="B45" s="1"/>
      <c r="C45" s="1"/>
      <c r="D45" s="1"/>
    </row>
    <row r="46" spans="1:10" x14ac:dyDescent="0.25">
      <c r="A46" s="1"/>
      <c r="B46" s="1"/>
      <c r="C46" s="1"/>
      <c r="D46" s="1"/>
    </row>
    <row r="47" spans="1:10" x14ac:dyDescent="0.25">
      <c r="A47" s="1"/>
      <c r="B47" s="1"/>
      <c r="C47" s="1"/>
      <c r="D47" s="1"/>
    </row>
    <row r="48" spans="1:10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</sheetData>
  <conditionalFormatting sqref="A4">
    <cfRule type="colorScale" priority="12">
      <colorScale>
        <cfvo type="min"/>
        <cfvo type="max"/>
        <color rgb="FFFCFCFF"/>
        <color rgb="FFF8696B"/>
      </colorScale>
    </cfRule>
  </conditionalFormatting>
  <conditionalFormatting pivot="1" sqref="B5:M5">
    <cfRule type="colorScale" priority="11">
      <colorScale>
        <cfvo type="min"/>
        <cfvo type="max"/>
        <color rgb="FFFCFCFF"/>
        <color rgb="FFF8696B"/>
      </colorScale>
    </cfRule>
  </conditionalFormatting>
  <conditionalFormatting sqref="X6:XFD6 A6">
    <cfRule type="colorScale" priority="10">
      <colorScale>
        <cfvo type="min"/>
        <cfvo type="max"/>
        <color rgb="FFFCFCFF"/>
        <color rgb="FFF8696B"/>
      </colorScale>
    </cfRule>
  </conditionalFormatting>
  <conditionalFormatting sqref="X7:XFD7 A7">
    <cfRule type="colorScale" priority="9">
      <colorScale>
        <cfvo type="min"/>
        <cfvo type="max"/>
        <color rgb="FFFCFCFF"/>
        <color rgb="FFF8696B"/>
      </colorScale>
    </cfRule>
  </conditionalFormatting>
  <conditionalFormatting sqref="X8:XFD8 A8">
    <cfRule type="colorScale" priority="8">
      <colorScale>
        <cfvo type="min"/>
        <cfvo type="max"/>
        <color rgb="FFFCFCFF"/>
        <color rgb="FFF8696B"/>
      </colorScale>
    </cfRule>
  </conditionalFormatting>
  <conditionalFormatting sqref="X9:XFD9 A9">
    <cfRule type="colorScale" priority="7">
      <colorScale>
        <cfvo type="min"/>
        <cfvo type="max"/>
        <color rgb="FFFCFCFF"/>
        <color rgb="FFF8696B"/>
      </colorScale>
    </cfRule>
  </conditionalFormatting>
  <conditionalFormatting sqref="X11:XFD11 A11">
    <cfRule type="colorScale" priority="6">
      <colorScale>
        <cfvo type="min"/>
        <cfvo type="max"/>
        <color rgb="FF63BE7B"/>
        <color rgb="FFFCFCFF"/>
      </colorScale>
    </cfRule>
  </conditionalFormatting>
  <conditionalFormatting sqref="X12:XFD12 A12">
    <cfRule type="colorScale" priority="5">
      <colorScale>
        <cfvo type="min"/>
        <cfvo type="max"/>
        <color rgb="FFFCFCFF"/>
        <color rgb="FFF8696B"/>
      </colorScale>
    </cfRule>
  </conditionalFormatting>
  <conditionalFormatting sqref="X17:XFD17 A17">
    <cfRule type="colorScale" priority="4">
      <colorScale>
        <cfvo type="min"/>
        <cfvo type="max"/>
        <color rgb="FFFCFCFF"/>
        <color rgb="FFF8696B"/>
      </colorScale>
    </cfRule>
  </conditionalFormatting>
  <conditionalFormatting sqref="X16:XFD16 A16">
    <cfRule type="colorScale" priority="3">
      <colorScale>
        <cfvo type="min"/>
        <cfvo type="max"/>
        <color rgb="FFFCFCFF"/>
        <color rgb="FFF8696B"/>
      </colorScale>
    </cfRule>
  </conditionalFormatting>
  <conditionalFormatting sqref="X15:XFD15 A15">
    <cfRule type="colorScale" priority="2">
      <colorScale>
        <cfvo type="min"/>
        <cfvo type="max"/>
        <color rgb="FFFCFCFF"/>
        <color rgb="FFF8696B"/>
      </colorScale>
    </cfRule>
  </conditionalFormatting>
  <conditionalFormatting sqref="X14:XFD14 A1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C6433-0ED4-4141-82CA-FA2D617579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Harris</dc:creator>
  <cp:lastModifiedBy>Noah Harris</cp:lastModifiedBy>
  <dcterms:created xsi:type="dcterms:W3CDTF">2026-05-20T00:04:08Z</dcterms:created>
  <dcterms:modified xsi:type="dcterms:W3CDTF">2026-05-26T18:28:20Z</dcterms:modified>
</cp:coreProperties>
</file>